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Empresa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Produtos" sheetId="4" state="visible" r:id="rId4"/>
    <sheet xmlns:r="http://schemas.openxmlformats.org/officeDocument/2006/relationships" name="Legenda" sheetId="5" state="visible" r:id="rId5"/>
  </sheets>
  <definedNames>
    <definedName name="_xlnm._FilterDatabase" localSheetId="3" hidden="1">'Produtos'!$A$1:$M$83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9" fontId="2" fillId="4" borderId="1" applyAlignment="1" pivotButton="0" quotePrefix="0" xfId="0">
      <alignment vertical="top" wrapText="1"/>
    </xf>
    <xf numFmtId="49" fontId="6" fillId="3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49" fontId="2" fillId="4" borderId="1" applyAlignment="1" pivotButton="0" quotePrefix="0" xfId="0">
      <alignment vertical="top"/>
    </xf>
    <xf numFmtId="49" fontId="6" fillId="3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/>
    </xf>
    <xf numFmtId="49" fontId="2" fillId="5" borderId="1" applyAlignment="1" pivotButton="0" quotePrefix="0" xfId="0">
      <alignment vertical="top"/>
    </xf>
    <xf numFmtId="49" fontId="7" fillId="3" borderId="1" applyAlignment="1" pivotButton="0" quotePrefix="0" xfId="0">
      <alignment vertical="top" wrapText="1"/>
    </xf>
    <xf numFmtId="0" fontId="5" fillId="2" borderId="0" pivotButton="0" quotePrefix="0" xfId="0"/>
    <xf numFmtId="0" fontId="0" fillId="2" borderId="0" pivotButton="0" quotePrefix="0" xfId="0"/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Classificação fiscal para emissão de NFC-e — VL GASTRONOMIA LTDA (El Patrón)</t>
        </is>
      </c>
    </row>
    <row r="2">
      <c r="A2" s="2" t="inlineStr">
        <is>
          <t>CNPJ 58.193.623/0001-08 · Pontal do Paraná/PR · CNAE 56.11-2-01 Restaurantes e similares · IE 9111014830</t>
        </is>
      </c>
    </row>
    <row r="3">
      <c r="A3" s="2" t="inlineStr"/>
    </row>
    <row r="4">
      <c r="A4" s="3" t="inlineStr">
        <is>
          <t>O que é esta planilha</t>
        </is>
      </c>
    </row>
    <row r="5">
      <c r="A5" s="2" t="inlineStr">
        <is>
          <t>O sistema de vendas (ERPOS) vai emitir uma NFC-e (modelo 65) automaticamente a cada venda paga. Para a nota sair correta, cada produto precisa dos códigos fiscais abaixo. Esta planilha lista todos os produtos do cardápio para você preencher/validar.</t>
        </is>
      </c>
    </row>
    <row r="6">
      <c r="A6" s="2" t="inlineStr"/>
    </row>
    <row r="7">
      <c r="A7" s="3" t="inlineStr">
        <is>
          <t>Como preencher</t>
        </is>
      </c>
    </row>
    <row r="8">
      <c r="A8" s="2" t="inlineStr">
        <is>
          <t>1. Aba EMPRESA: confirme o regime tributário e os padrões da loja (vale para todo produto que não tiver código próprio).</t>
        </is>
      </c>
    </row>
    <row r="9">
      <c r="A9" s="2" t="inlineStr">
        <is>
          <t>2. Aba CATEGORIAS: preencha os códigos por categoria. A maioria dos produtos herda daqui — é o jeito rápido.</t>
        </is>
      </c>
    </row>
    <row r="10">
      <c r="A10" s="2" t="inlineStr">
        <is>
          <t>3. Aba PRODUTOS: só precisa preencher onde o produto for exceção à categoria (ex.: água dentro de Bebidas, soda sem álcool dentro de Drinks). Deixe em branco para herdar.</t>
        </is>
      </c>
    </row>
    <row r="11">
      <c r="A11" s="2" t="inlineStr">
        <is>
          <t>4. Células AMARELAS são para você preencher. Células VERDES são sugestões do sistema — pode manter ou corrigir.</t>
        </is>
      </c>
    </row>
    <row r="12">
      <c r="A12" s="2" t="inlineStr">
        <is>
          <t>5. As colunas CFOP, CSOSN e Origem têm lista suspensa. NCM: 8 dígitos sem ponto (ex.: 21069090). CEST: 7 dígitos, só quando houver substituição tributária.</t>
        </is>
      </c>
    </row>
    <row r="13">
      <c r="A13" s="2" t="inlineStr"/>
    </row>
    <row r="14">
      <c r="A14" s="3" t="inlineStr">
        <is>
          <t>Regra de herança usada pelo sistema</t>
        </is>
      </c>
    </row>
    <row r="15">
      <c r="A15" s="2" t="inlineStr">
        <is>
          <t>Produto → Categoria → Padrão da loja (aba EMPRESA). O primeiro nível preenchido vence.</t>
        </is>
      </c>
    </row>
    <row r="16">
      <c r="A16" s="2" t="inlineStr"/>
    </row>
    <row r="17">
      <c r="A17" s="3" t="inlineStr">
        <is>
          <t>Pontos que precisam da sua decisão</t>
        </is>
      </c>
    </row>
    <row r="18">
      <c r="A18" s="2" t="inlineStr">
        <is>
          <t>• Bebidas industrializadas (refrigerante, água, cerveja em lata, chope): no Paraná costumam ter ICMS-ST. Se for o caso, informe CSOSN 500 + CEST em cada categoria/produto.</t>
        </is>
      </c>
    </row>
    <row r="19">
      <c r="A19" s="2" t="inlineStr">
        <is>
          <t>• Drinks sem álcool (sodas italianas, pink limonade) estão na categoria Drinks, cujo NCM sugerido é de bebida alcoólica. Marcados na aba PRODUTOS para você corrigir.</t>
        </is>
      </c>
    </row>
    <row r="20">
      <c r="A20" s="2" t="inlineStr">
        <is>
          <t>• Águas com/sem gás estão em Bebidas com NCM de refrigerante. NCM provável 2201.10.00 / 2201.90.00 — confirme.</t>
        </is>
      </c>
    </row>
    <row r="21">
      <c r="A21" s="2" t="inlineStr">
        <is>
          <t>• Pastéis: sugerimos 2106.90.90 (preparação alimentícia). Se preferir 1905.90.90, ajuste na categoria.</t>
        </is>
      </c>
    </row>
    <row r="22">
      <c r="A22" s="2" t="inlineStr">
        <is>
          <t>• Sucos naturais feitos na hora: 2202.99.00 ou 2009.90.00 — confirme.</t>
        </is>
      </c>
    </row>
    <row r="23">
      <c r="A23" s="2" t="inlineStr">
        <is>
          <t>• PIS/COFINS: no Simples Nacional usamos CST 49 (outras operações de saída). Confirme.</t>
        </is>
      </c>
    </row>
    <row r="24">
      <c r="A24" s="2" t="inlineStr">
        <is>
          <t>• Preços e produtos inativos estão aqui só para referência; itens inativos aparecem em cinza.</t>
        </is>
      </c>
    </row>
    <row r="25">
      <c r="A25" s="2" t="inlineStr"/>
    </row>
    <row r="26">
      <c r="A26" s="4" t="inlineStr">
        <is>
          <t>Dúvidas: Natalino — natalinojr.engel@gmail.com · (41) 93844-1497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70" customWidth="1" min="3" max="3"/>
  </cols>
  <sheetData>
    <row r="1">
      <c r="A1" s="5" t="inlineStr">
        <is>
          <t>Item</t>
        </is>
      </c>
      <c r="B1" s="5" t="inlineStr">
        <is>
          <t>Valor (preencher/confirmar)</t>
        </is>
      </c>
      <c r="C1" s="5" t="inlineStr">
        <is>
          <t>Observação</t>
        </is>
      </c>
    </row>
    <row r="2">
      <c r="A2" s="6" t="inlineStr">
        <is>
          <t>Razão social</t>
        </is>
      </c>
      <c r="B2" s="7" t="inlineStr">
        <is>
          <t>VL GASTRONOMIA LTDA</t>
        </is>
      </c>
      <c r="C2" s="8" t="inlineStr">
        <is>
          <t>Como está no cadastro do Brasil NFe</t>
        </is>
      </c>
    </row>
    <row r="3">
      <c r="A3" s="6" t="inlineStr">
        <is>
          <t>CNPJ</t>
        </is>
      </c>
      <c r="B3" s="7" t="inlineStr">
        <is>
          <t>58.193.623/0001-08</t>
        </is>
      </c>
      <c r="C3" s="8" t="inlineStr"/>
    </row>
    <row r="4">
      <c r="A4" s="6" t="inlineStr">
        <is>
          <t>Inscrição estadual</t>
        </is>
      </c>
      <c r="B4" s="7" t="inlineStr">
        <is>
          <t>9111014830</t>
        </is>
      </c>
      <c r="C4" s="8" t="inlineStr">
        <is>
          <t>Confirmar</t>
        </is>
      </c>
    </row>
    <row r="5">
      <c r="A5" s="6" t="inlineStr">
        <is>
          <t>CNAE principal</t>
        </is>
      </c>
      <c r="B5" s="7" t="inlineStr">
        <is>
          <t>56.11-2-01 Restaurantes e similares</t>
        </is>
      </c>
      <c r="C5" s="8" t="inlineStr"/>
    </row>
    <row r="6">
      <c r="A6" s="6" t="inlineStr">
        <is>
          <t>Endereço</t>
        </is>
      </c>
      <c r="B6" s="7" t="inlineStr">
        <is>
          <t>Rua Lauro Teixeira Neto, 243 - Praia de Leste - Pontal do Paraná/PR - CEP 83255-010</t>
        </is>
      </c>
      <c r="C6" s="8" t="inlineStr">
        <is>
          <t>Confirmar</t>
        </is>
      </c>
    </row>
    <row r="7">
      <c r="A7" s="6" t="inlineStr">
        <is>
          <t>Regime tributário (CRT)</t>
        </is>
      </c>
      <c r="B7" s="7" t="inlineStr">
        <is>
          <t>1 - Simples Nacional</t>
        </is>
      </c>
      <c r="C7" s="8" t="inlineStr">
        <is>
          <t>1 Simples · 2 Simples excesso sublimite · 3 Regime Normal · 4 MEI</t>
        </is>
      </c>
    </row>
    <row r="8">
      <c r="A8" s="6" t="inlineStr">
        <is>
          <t>Natureza da operação</t>
        </is>
      </c>
      <c r="B8" s="7" t="inlineStr">
        <is>
          <t>VENDA DE MERCADORIA</t>
        </is>
      </c>
      <c r="C8" s="8" t="inlineStr"/>
    </row>
    <row r="9">
      <c r="A9" s="6" t="inlineStr">
        <is>
          <t>CFOP padrão (venda dentro do estado)</t>
        </is>
      </c>
      <c r="B9" s="7" t="inlineStr">
        <is>
          <t>5102</t>
        </is>
      </c>
      <c r="C9" s="8" t="inlineStr">
        <is>
          <t>5102 revenda / 5101 produção própria / 5405 ST. Ver aba Legenda</t>
        </is>
      </c>
    </row>
    <row r="10">
      <c r="A10" s="6" t="inlineStr">
        <is>
          <t>CSOSN padrão (Simples)</t>
        </is>
      </c>
      <c r="B10" s="7" t="inlineStr">
        <is>
          <t>102</t>
        </is>
      </c>
      <c r="C10" s="8" t="inlineStr">
        <is>
          <t>102 sem crédito · 500 ICMS cobrado por ST · ver Legenda</t>
        </is>
      </c>
    </row>
    <row r="11">
      <c r="A11" s="6" t="inlineStr">
        <is>
          <t>NCM padrão (comida preparada)</t>
        </is>
      </c>
      <c r="B11" s="7" t="inlineStr">
        <is>
          <t>21069090</t>
        </is>
      </c>
      <c r="C11" s="8" t="inlineStr">
        <is>
          <t>Usado em todo item sem NCM próprio</t>
        </is>
      </c>
    </row>
    <row r="12">
      <c r="A12" s="6" t="inlineStr">
        <is>
          <t>Origem padrão da mercadoria</t>
        </is>
      </c>
      <c r="B12" s="7" t="inlineStr">
        <is>
          <t>0 - Nacional</t>
        </is>
      </c>
      <c r="C12" s="8" t="inlineStr"/>
    </row>
    <row r="13">
      <c r="A13" s="6" t="inlineStr">
        <is>
          <t>CST PIS padrão</t>
        </is>
      </c>
      <c r="B13" s="7" t="inlineStr">
        <is>
          <t>49</t>
        </is>
      </c>
      <c r="C13" s="8" t="inlineStr">
        <is>
          <t>Simples Nacional: 49 outras operações de saída</t>
        </is>
      </c>
    </row>
    <row r="14">
      <c r="A14" s="6" t="inlineStr">
        <is>
          <t>CST COFINS padrão</t>
        </is>
      </c>
      <c r="B14" s="7" t="inlineStr">
        <is>
          <t>49</t>
        </is>
      </c>
      <c r="C14" s="8" t="inlineStr"/>
    </row>
    <row r="15">
      <c r="A15" s="6" t="inlineStr">
        <is>
          <t>Alíquota aprox. de tributos (Lei 12.741) — comida</t>
        </is>
      </c>
      <c r="B15" s="7" t="inlineStr"/>
      <c r="C15" s="8" t="inlineStr">
        <is>
          <t>Percentual para o campo 'tributos aproximados' do cupom, se quiser informar</t>
        </is>
      </c>
    </row>
    <row r="16">
      <c r="A16" s="6" t="inlineStr">
        <is>
          <t>Alíquota aprox. de tributos (Lei 12.741) — bebidas</t>
        </is>
      </c>
      <c r="B16" s="7" t="inlineStr"/>
      <c r="C16" s="8" t="inlineStr"/>
    </row>
    <row r="17">
      <c r="A17" s="6" t="inlineStr">
        <is>
          <t>Certificado A1</t>
        </is>
      </c>
      <c r="B17" s="7" t="inlineStr">
        <is>
          <t>Já cadastrado no provedor (vence 03/12/2026)</t>
        </is>
      </c>
      <c r="C17" s="8" t="inlineStr">
        <is>
          <t>Lembrete de renovação</t>
        </is>
      </c>
    </row>
    <row r="18">
      <c r="A18" s="6" t="inlineStr">
        <is>
          <t>CSC NFC-e produção / homologação</t>
        </is>
      </c>
      <c r="B18" s="7" t="inlineStr">
        <is>
          <t>Já cadastrados (Id 000002 / 000001)</t>
        </is>
      </c>
      <c r="C18" s="8" t="inlineStr"/>
    </row>
    <row r="19">
      <c r="A19" s="6" t="inlineStr">
        <is>
          <t>Credenciamento NFC-e na Receita/PR</t>
        </is>
      </c>
      <c r="B19" s="7" t="inlineStr"/>
      <c r="C19" s="8" t="inlineStr">
        <is>
          <t>Confirmar que a empresa está credenciada a emitir NFC-e (mod. 65)</t>
        </is>
      </c>
    </row>
    <row r="20">
      <c r="A20" s="6" t="inlineStr">
        <is>
          <t>Série da NFC-e</t>
        </is>
      </c>
      <c r="B20" s="7" t="inlineStr">
        <is>
          <t>1 (automática)</t>
        </is>
      </c>
      <c r="C20" s="8" t="inlineStr">
        <is>
          <t>Informar se precisar de outra série</t>
        </is>
      </c>
    </row>
    <row r="21">
      <c r="A21" s="6" t="inlineStr">
        <is>
          <t>Observações da contadora</t>
        </is>
      </c>
      <c r="B21" s="7" t="inlineStr"/>
      <c r="C21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J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4" customWidth="1" min="4" max="4"/>
    <col width="16" customWidth="1" min="5" max="5"/>
    <col width="12" customWidth="1" min="6" max="6"/>
    <col width="10" customWidth="1" min="7" max="7"/>
    <col width="10" customWidth="1" min="8" max="8"/>
    <col width="16" customWidth="1" min="9" max="9"/>
    <col width="40" customWidth="1" min="10" max="10"/>
  </cols>
  <sheetData>
    <row r="1">
      <c r="A1" s="5" t="inlineStr">
        <is>
          <t>Categoria</t>
        </is>
      </c>
      <c r="B1" s="5" t="inlineStr">
        <is>
          <t>O que é</t>
        </is>
      </c>
      <c r="C1" s="5" t="inlineStr">
        <is>
          <t>Qtd. produtos</t>
        </is>
      </c>
      <c r="D1" s="5" t="inlineStr">
        <is>
          <t>NCM sugerido</t>
        </is>
      </c>
      <c r="E1" s="5" t="inlineStr">
        <is>
          <t>NCM (contadora)</t>
        </is>
      </c>
      <c r="F1" s="5" t="inlineStr">
        <is>
          <t>CEST</t>
        </is>
      </c>
      <c r="G1" s="5" t="inlineStr">
        <is>
          <t>CFOP</t>
        </is>
      </c>
      <c r="H1" s="5" t="inlineStr">
        <is>
          <t>CSOSN</t>
        </is>
      </c>
      <c r="I1" s="5" t="inlineStr">
        <is>
          <t>Tem ICMS-ST? (S/N)</t>
        </is>
      </c>
      <c r="J1" s="5" t="inlineStr">
        <is>
          <t>Observação da contadora</t>
        </is>
      </c>
    </row>
    <row r="2">
      <c r="A2" s="6" t="inlineStr">
        <is>
          <t>Hamburguer</t>
        </is>
      </c>
      <c r="B2" s="9" t="inlineStr">
        <is>
          <t>Comida preparada na casa</t>
        </is>
      </c>
      <c r="C2" s="9">
        <f>COUNTIF(Produtos!$A:$A,A2)</f>
        <v/>
      </c>
      <c r="D2" s="10" t="inlineStr">
        <is>
          <t>21069090</t>
        </is>
      </c>
      <c r="E2" s="11" t="n"/>
      <c r="F2" s="11" t="n"/>
      <c r="G2" s="11" t="n"/>
      <c r="H2" s="11" t="n"/>
      <c r="I2" s="11" t="n"/>
      <c r="J2" s="11" t="n"/>
    </row>
    <row r="3">
      <c r="A3" s="6" t="inlineStr">
        <is>
          <t>Burrito</t>
        </is>
      </c>
      <c r="B3" s="9" t="inlineStr">
        <is>
          <t>Comida preparada na casa</t>
        </is>
      </c>
      <c r="C3" s="9">
        <f>COUNTIF(Produtos!$A:$A,A3)</f>
        <v/>
      </c>
      <c r="D3" s="10" t="inlineStr">
        <is>
          <t>21069090</t>
        </is>
      </c>
      <c r="E3" s="11" t="n"/>
      <c r="F3" s="11" t="n"/>
      <c r="G3" s="11" t="n"/>
      <c r="H3" s="11" t="n"/>
      <c r="I3" s="11" t="n"/>
      <c r="J3" s="11" t="n"/>
    </row>
    <row r="4">
      <c r="A4" s="6" t="inlineStr">
        <is>
          <t>Quesadillas</t>
        </is>
      </c>
      <c r="B4" s="9" t="inlineStr">
        <is>
          <t>Comida preparada na casa</t>
        </is>
      </c>
      <c r="C4" s="9">
        <f>COUNTIF(Produtos!$A:$A,A4)</f>
        <v/>
      </c>
      <c r="D4" s="10" t="inlineStr">
        <is>
          <t>21069090</t>
        </is>
      </c>
      <c r="E4" s="11" t="n"/>
      <c r="F4" s="11" t="n"/>
      <c r="G4" s="11" t="n"/>
      <c r="H4" s="11" t="n"/>
      <c r="I4" s="11" t="n"/>
      <c r="J4" s="11" t="n"/>
    </row>
    <row r="5">
      <c r="A5" s="6" t="inlineStr">
        <is>
          <t>Tacos</t>
        </is>
      </c>
      <c r="B5" s="9" t="inlineStr">
        <is>
          <t>Comida preparada na casa</t>
        </is>
      </c>
      <c r="C5" s="9">
        <f>COUNTIF(Produtos!$A:$A,A5)</f>
        <v/>
      </c>
      <c r="D5" s="10" t="inlineStr">
        <is>
          <t>21069090</t>
        </is>
      </c>
      <c r="E5" s="11" t="n"/>
      <c r="F5" s="11" t="n"/>
      <c r="G5" s="11" t="n"/>
      <c r="H5" s="11" t="n"/>
      <c r="I5" s="11" t="n"/>
      <c r="J5" s="11" t="n"/>
    </row>
    <row r="6">
      <c r="A6" s="6" t="inlineStr">
        <is>
          <t>Nachos</t>
        </is>
      </c>
      <c r="B6" s="9" t="inlineStr">
        <is>
          <t>Comida preparada na casa</t>
        </is>
      </c>
      <c r="C6" s="9">
        <f>COUNTIF(Produtos!$A:$A,A6)</f>
        <v/>
      </c>
      <c r="D6" s="10" t="inlineStr">
        <is>
          <t>21069090</t>
        </is>
      </c>
      <c r="E6" s="11" t="n"/>
      <c r="F6" s="11" t="n"/>
      <c r="G6" s="11" t="n"/>
      <c r="H6" s="11" t="n"/>
      <c r="I6" s="11" t="n"/>
      <c r="J6" s="11" t="n"/>
    </row>
    <row r="7">
      <c r="A7" s="6" t="inlineStr">
        <is>
          <t>Pasteis</t>
        </is>
      </c>
      <c r="B7" s="9" t="inlineStr">
        <is>
          <t>Pastéis fritos na casa (salgados e doces)</t>
        </is>
      </c>
      <c r="C7" s="9">
        <f>COUNTIF(Produtos!$A:$A,A7)</f>
        <v/>
      </c>
      <c r="D7" s="10" t="inlineStr">
        <is>
          <t>21069090</t>
        </is>
      </c>
      <c r="E7" s="11" t="n"/>
      <c r="F7" s="11" t="n"/>
      <c r="G7" s="11" t="n"/>
      <c r="H7" s="11" t="n"/>
      <c r="I7" s="11" t="n"/>
      <c r="J7" s="11" t="n"/>
    </row>
    <row r="8">
      <c r="A8" s="6" t="inlineStr">
        <is>
          <t>Porções</t>
        </is>
      </c>
      <c r="B8" s="9" t="inlineStr">
        <is>
          <t>Porções fritas preparadas na casa</t>
        </is>
      </c>
      <c r="C8" s="9">
        <f>COUNTIF(Produtos!$A:$A,A8)</f>
        <v/>
      </c>
      <c r="D8" s="10" t="inlineStr">
        <is>
          <t>21069090</t>
        </is>
      </c>
      <c r="E8" s="11" t="n"/>
      <c r="F8" s="11" t="n"/>
      <c r="G8" s="11" t="n"/>
      <c r="H8" s="11" t="n"/>
      <c r="I8" s="11" t="n"/>
      <c r="J8" s="11" t="n"/>
    </row>
    <row r="9">
      <c r="A9" s="6" t="inlineStr">
        <is>
          <t>Espetinhos</t>
        </is>
      </c>
      <c r="B9" s="9" t="inlineStr">
        <is>
          <t>Espetinhos grelhados na casa</t>
        </is>
      </c>
      <c r="C9" s="9">
        <f>COUNTIF(Produtos!$A:$A,A9)</f>
        <v/>
      </c>
      <c r="D9" s="10" t="inlineStr">
        <is>
          <t>21069090</t>
        </is>
      </c>
      <c r="E9" s="11" t="n"/>
      <c r="F9" s="11" t="n"/>
      <c r="G9" s="11" t="n"/>
      <c r="H9" s="11" t="n"/>
      <c r="I9" s="11" t="n"/>
      <c r="J9" s="11" t="n"/>
    </row>
    <row r="10">
      <c r="A10" s="6" t="inlineStr">
        <is>
          <t>Churros</t>
        </is>
      </c>
      <c r="B10" s="9" t="inlineStr">
        <is>
          <t>Doce preparado na casa</t>
        </is>
      </c>
      <c r="C10" s="9">
        <f>COUNTIF(Produtos!$A:$A,A10)</f>
        <v/>
      </c>
      <c r="D10" s="10" t="inlineStr">
        <is>
          <t>21069090</t>
        </is>
      </c>
      <c r="E10" s="11" t="n"/>
      <c r="F10" s="11" t="n"/>
      <c r="G10" s="11" t="n"/>
      <c r="H10" s="11" t="n"/>
      <c r="I10" s="11" t="n"/>
      <c r="J10" s="11" t="n"/>
    </row>
    <row r="11">
      <c r="A11" s="6" t="inlineStr">
        <is>
          <t>Extras</t>
        </is>
      </c>
      <c r="B11" s="9" t="inlineStr">
        <is>
          <t>Molhos e acompanhamentos preparados na casa</t>
        </is>
      </c>
      <c r="C11" s="9">
        <f>COUNTIF(Produtos!$A:$A,A11)</f>
        <v/>
      </c>
      <c r="D11" s="10" t="inlineStr">
        <is>
          <t>21069090</t>
        </is>
      </c>
      <c r="E11" s="11" t="n"/>
      <c r="F11" s="11" t="n"/>
      <c r="G11" s="11" t="n"/>
      <c r="H11" s="11" t="n"/>
      <c r="I11" s="11" t="n"/>
      <c r="J11" s="11" t="n"/>
    </row>
    <row r="12">
      <c r="A12" s="6" t="inlineStr">
        <is>
          <t>Bebidas</t>
        </is>
      </c>
      <c r="B12" s="9" t="inlineStr">
        <is>
          <t>Refrigerantes, néctares e água (revenda de industrializados)</t>
        </is>
      </c>
      <c r="C12" s="9">
        <f>COUNTIF(Produtos!$A:$A,A12)</f>
        <v/>
      </c>
      <c r="D12" s="10" t="inlineStr">
        <is>
          <t>22021000</t>
        </is>
      </c>
      <c r="E12" s="11" t="n"/>
      <c r="F12" s="11" t="n"/>
      <c r="G12" s="11" t="n"/>
      <c r="H12" s="11" t="n"/>
      <c r="I12" s="11" t="n"/>
      <c r="J12" s="11" t="n"/>
    </row>
    <row r="13">
      <c r="A13" s="6" t="inlineStr">
        <is>
          <t>Sucos</t>
        </is>
      </c>
      <c r="B13" s="9" t="inlineStr">
        <is>
          <t>Sucos naturais feitos na hora</t>
        </is>
      </c>
      <c r="C13" s="9">
        <f>COUNTIF(Produtos!$A:$A,A13)</f>
        <v/>
      </c>
      <c r="D13" s="10" t="inlineStr">
        <is>
          <t>22029900</t>
        </is>
      </c>
      <c r="E13" s="11" t="n"/>
      <c r="F13" s="11" t="n"/>
      <c r="G13" s="11" t="n"/>
      <c r="H13" s="11" t="n"/>
      <c r="I13" s="11" t="n"/>
      <c r="J13" s="11" t="n"/>
    </row>
    <row r="14">
      <c r="A14" s="6" t="inlineStr">
        <is>
          <t>Drinks</t>
        </is>
      </c>
      <c r="B14" s="9" t="inlineStr">
        <is>
          <t>Drinks (alcoólicos e sem álcool) preparados na casa</t>
        </is>
      </c>
      <c r="C14" s="9">
        <f>COUNTIF(Produtos!$A:$A,A14)</f>
        <v/>
      </c>
      <c r="D14" s="10" t="inlineStr">
        <is>
          <t>22089000</t>
        </is>
      </c>
      <c r="E14" s="11" t="n"/>
      <c r="F14" s="11" t="n"/>
      <c r="G14" s="11" t="n"/>
      <c r="H14" s="11" t="n"/>
      <c r="I14" s="11" t="n"/>
      <c r="J14" s="11" t="n"/>
    </row>
    <row r="15">
      <c r="A15" s="6" t="inlineStr">
        <is>
          <t>Cervejas</t>
        </is>
      </c>
      <c r="B15" s="9" t="inlineStr">
        <is>
          <t>Cerveja em lata / long neck (revenda)</t>
        </is>
      </c>
      <c r="C15" s="9">
        <f>COUNTIF(Produtos!$A:$A,A15)</f>
        <v/>
      </c>
      <c r="D15" s="10" t="inlineStr">
        <is>
          <t>22030000</t>
        </is>
      </c>
      <c r="E15" s="11" t="n"/>
      <c r="F15" s="11" t="n"/>
      <c r="G15" s="11" t="n"/>
      <c r="H15" s="11" t="n"/>
      <c r="I15" s="11" t="n"/>
      <c r="J15" s="11" t="n"/>
    </row>
    <row r="16">
      <c r="A16" s="6" t="inlineStr">
        <is>
          <t>Chopes</t>
        </is>
      </c>
      <c r="B16" s="9" t="inlineStr">
        <is>
          <t>Chope de barril servido no copo</t>
        </is>
      </c>
      <c r="C16" s="9">
        <f>COUNTIF(Produtos!$A:$A,A16)</f>
        <v/>
      </c>
      <c r="D16" s="10" t="inlineStr">
        <is>
          <t>22030000</t>
        </is>
      </c>
      <c r="E16" s="11" t="n"/>
      <c r="F16" s="11" t="n"/>
      <c r="G16" s="11" t="n"/>
      <c r="H16" s="11" t="n"/>
      <c r="I16" s="11" t="n"/>
      <c r="J16" s="11" t="n"/>
    </row>
    <row r="17"/>
    <row r="18">
      <c r="A18" s="12" t="inlineStr">
        <is>
          <t>Preencha o NCM na coluna E só se for diferente do sugerido (D). Em branco = o sistema usa o sugerido. CEST só quando 'Tem ICMS-ST' = S.</t>
        </is>
      </c>
    </row>
  </sheetData>
  <mergeCells count="1">
    <mergeCell ref="A18:J18"/>
  </mergeCells>
  <dataValidations count="5">
    <dataValidation sqref="E2:E16" showDropDown="0" showInputMessage="0" showErrorMessage="1" allowBlank="1" errorTitle="NCM" error="8 dígitos sem ponto" type="textLength" operator="equal">
      <formula1>8</formula1>
    </dataValidation>
    <dataValidation sqref="F2:F16" showDropDown="0" showInputMessage="0" showErrorMessage="1" allowBlank="1" errorTitle="CEST" error="7 dígitos sem ponto" type="textLength" operator="equal">
      <formula1>7</formula1>
    </dataValidation>
    <dataValidation sqref="G2:G16" showDropDown="0" showInputMessage="0" showErrorMessage="0" allowBlank="1" type="list">
      <formula1>=Legenda!$I$1:$I$4</formula1>
    </dataValidation>
    <dataValidation sqref="H2:H16" showDropDown="0" showInputMessage="0" showErrorMessage="0" allowBlank="1" type="list">
      <formula1>=Legenda!$H$1:$H$7</formula1>
    </dataValidation>
    <dataValidation sqref="I2:I16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8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52" customWidth="1" min="3" max="3"/>
    <col width="10" customWidth="1" min="4" max="4"/>
    <col width="7" customWidth="1" min="5" max="5"/>
    <col width="13" customWidth="1" min="6" max="6"/>
    <col width="16" customWidth="1" min="7" max="7"/>
    <col width="10" customWidth="1" min="8" max="8"/>
    <col width="8" customWidth="1" min="9" max="9"/>
    <col width="9" customWidth="1" min="10" max="10"/>
    <col width="8" customWidth="1" min="11" max="11"/>
    <col width="18" customWidth="1" min="12" max="12"/>
    <col width="36" customWidth="1" min="13" max="13"/>
  </cols>
  <sheetData>
    <row r="1" ht="30" customHeight="1">
      <c r="A1" s="5" t="inlineStr">
        <is>
          <t>Categoria</t>
        </is>
      </c>
      <c r="B1" s="5" t="inlineStr">
        <is>
          <t>Produto</t>
        </is>
      </c>
      <c r="C1" s="5" t="inlineStr">
        <is>
          <t>Descrição / composição</t>
        </is>
      </c>
      <c r="D1" s="5" t="inlineStr">
        <is>
          <t>Preço (R$)</t>
        </is>
      </c>
      <c r="E1" s="5" t="inlineStr">
        <is>
          <t>Ativo</t>
        </is>
      </c>
      <c r="F1" s="5" t="inlineStr">
        <is>
          <t>NCM herdado</t>
        </is>
      </c>
      <c r="G1" s="5" t="inlineStr">
        <is>
          <t>NCM (só se for exceção)</t>
        </is>
      </c>
      <c r="H1" s="5" t="inlineStr">
        <is>
          <t>CEST</t>
        </is>
      </c>
      <c r="I1" s="5" t="inlineStr">
        <is>
          <t>CFOP</t>
        </is>
      </c>
      <c r="J1" s="5" t="inlineStr">
        <is>
          <t>CSOSN</t>
        </is>
      </c>
      <c r="K1" s="5" t="inlineStr">
        <is>
          <t>Origem</t>
        </is>
      </c>
      <c r="L1" s="5" t="inlineStr">
        <is>
          <t>Código de barras (GTIN)</t>
        </is>
      </c>
      <c r="M1" s="5" t="inlineStr">
        <is>
          <t>Observação da contadora</t>
        </is>
      </c>
    </row>
    <row r="2">
      <c r="A2" s="13" t="inlineStr">
        <is>
          <t>Hamburguer</t>
        </is>
      </c>
      <c r="B2" s="9" t="inlineStr">
        <is>
          <t>Hamburguer de Bacon</t>
        </is>
      </c>
      <c r="C2" s="9" t="inlineStr">
        <is>
          <t>Carne bovina 100g, pão, cheddar, cebola caramelizada, bacon, molho</t>
        </is>
      </c>
      <c r="D2" s="14" t="n">
        <v>25.9</v>
      </c>
      <c r="E2" s="13" t="inlineStr">
        <is>
          <t>Sim</t>
        </is>
      </c>
      <c r="F2" s="15">
        <f>IF(INDEX(Categorias!$E:$E,MATCH(A2,Categorias!$A:$A,0))&lt;&gt;"",INDEX(Categorias!$E:$E,MATCH(A2,Categorias!$A:$A,0)),IF(INDEX(Categorias!$D:$D,MATCH(A2,Categorias!$A:$A,0))&lt;&gt;"",INDEX(Categorias!$D:$D,MATCH(A2,Categorias!$A:$A,0)),Empresa!$B$11))</f>
        <v/>
      </c>
      <c r="G2" s="16" t="n"/>
      <c r="H2" s="16" t="n"/>
      <c r="I2" s="16" t="n"/>
      <c r="J2" s="16" t="n"/>
      <c r="K2" s="16" t="n"/>
      <c r="L2" s="16" t="n"/>
      <c r="M2" s="11" t="n"/>
    </row>
    <row r="3">
      <c r="A3" s="13" t="inlineStr">
        <is>
          <t>Hamburguer</t>
        </is>
      </c>
      <c r="B3" s="9" t="inlineStr">
        <is>
          <t>Hamburguer de Frango</t>
        </is>
      </c>
      <c r="C3" s="9" t="inlineStr">
        <is>
          <t>Hambúrguer de frango 100g, pão, provolone, alface, tomate, molho</t>
        </is>
      </c>
      <c r="D3" s="14" t="n">
        <v>25.9</v>
      </c>
      <c r="E3" s="13" t="inlineStr">
        <is>
          <t>Sim</t>
        </is>
      </c>
      <c r="F3" s="15">
        <f>IF(INDEX(Categorias!$E:$E,MATCH(A3,Categorias!$A:$A,0))&lt;&gt;"",INDEX(Categorias!$E:$E,MATCH(A3,Categorias!$A:$A,0)),IF(INDEX(Categorias!$D:$D,MATCH(A3,Categorias!$A:$A,0))&lt;&gt;"",INDEX(Categorias!$D:$D,MATCH(A3,Categorias!$A:$A,0)),Empresa!$B$11))</f>
        <v/>
      </c>
      <c r="G3" s="16" t="n"/>
      <c r="H3" s="16" t="n"/>
      <c r="I3" s="16" t="n"/>
      <c r="J3" s="16" t="n"/>
      <c r="K3" s="16" t="n"/>
      <c r="L3" s="16" t="n"/>
      <c r="M3" s="11" t="n"/>
    </row>
    <row r="4">
      <c r="A4" s="13" t="inlineStr">
        <is>
          <t>Hamburguer</t>
        </is>
      </c>
      <c r="B4" s="9" t="inlineStr">
        <is>
          <t>Hamburguer de Frango + Batata frita</t>
        </is>
      </c>
      <c r="C4" s="9" t="inlineStr">
        <is>
          <t>Hambúrguer de frango 180g, pão brioche, provolone, salada + batata</t>
        </is>
      </c>
      <c r="D4" s="14" t="n">
        <v>40</v>
      </c>
      <c r="E4" s="13" t="inlineStr">
        <is>
          <t>Sim</t>
        </is>
      </c>
      <c r="F4" s="15">
        <f>IF(INDEX(Categorias!$E:$E,MATCH(A4,Categorias!$A:$A,0))&lt;&gt;"",INDEX(Categorias!$E:$E,MATCH(A4,Categorias!$A:$A,0)),IF(INDEX(Categorias!$D:$D,MATCH(A4,Categorias!$A:$A,0))&lt;&gt;"",INDEX(Categorias!$D:$D,MATCH(A4,Categorias!$A:$A,0)),Empresa!$B$11))</f>
        <v/>
      </c>
      <c r="G4" s="16" t="n"/>
      <c r="H4" s="16" t="n"/>
      <c r="I4" s="16" t="n"/>
      <c r="J4" s="16" t="n"/>
      <c r="K4" s="16" t="n"/>
      <c r="L4" s="16" t="n"/>
      <c r="M4" s="11" t="n"/>
    </row>
    <row r="5">
      <c r="A5" s="13" t="inlineStr">
        <is>
          <t>Hamburguer</t>
        </is>
      </c>
      <c r="B5" s="9" t="inlineStr">
        <is>
          <t>Hamburguer Salada</t>
        </is>
      </c>
      <c r="C5" s="9" t="inlineStr">
        <is>
          <t>Carne bovina 100g, pão, alface, tomate, molho verde</t>
        </is>
      </c>
      <c r="D5" s="14" t="n">
        <v>25.9</v>
      </c>
      <c r="E5" s="13" t="inlineStr">
        <is>
          <t>Sim</t>
        </is>
      </c>
      <c r="F5" s="15">
        <f>IF(INDEX(Categorias!$E:$E,MATCH(A5,Categorias!$A:$A,0))&lt;&gt;"",INDEX(Categorias!$E:$E,MATCH(A5,Categorias!$A:$A,0)),IF(INDEX(Categorias!$D:$D,MATCH(A5,Categorias!$A:$A,0))&lt;&gt;"",INDEX(Categorias!$D:$D,MATCH(A5,Categorias!$A:$A,0)),Empresa!$B$11))</f>
        <v/>
      </c>
      <c r="G5" s="16" t="n"/>
      <c r="H5" s="16" t="n"/>
      <c r="I5" s="16" t="n"/>
      <c r="J5" s="16" t="n"/>
      <c r="K5" s="16" t="n"/>
      <c r="L5" s="16" t="n"/>
      <c r="M5" s="11" t="n"/>
    </row>
    <row r="6">
      <c r="A6" s="13" t="inlineStr">
        <is>
          <t>Hamburguer</t>
        </is>
      </c>
      <c r="B6" s="9" t="inlineStr">
        <is>
          <t>Hamburguer Sour Salad + Batata frita</t>
        </is>
      </c>
      <c r="C6" s="9" t="inlineStr">
        <is>
          <t>Carne bovina 180g na brasa, brioche, salada, sour cream + batata</t>
        </is>
      </c>
      <c r="D6" s="14" t="n">
        <v>40</v>
      </c>
      <c r="E6" s="13" t="inlineStr">
        <is>
          <t>Sim</t>
        </is>
      </c>
      <c r="F6" s="15">
        <f>IF(INDEX(Categorias!$E:$E,MATCH(A6,Categorias!$A:$A,0))&lt;&gt;"",INDEX(Categorias!$E:$E,MATCH(A6,Categorias!$A:$A,0)),IF(INDEX(Categorias!$D:$D,MATCH(A6,Categorias!$A:$A,0))&lt;&gt;"",INDEX(Categorias!$D:$D,MATCH(A6,Categorias!$A:$A,0)),Empresa!$B$11))</f>
        <v/>
      </c>
      <c r="G6" s="16" t="n"/>
      <c r="H6" s="16" t="n"/>
      <c r="I6" s="16" t="n"/>
      <c r="J6" s="16" t="n"/>
      <c r="K6" s="16" t="n"/>
      <c r="L6" s="16" t="n"/>
      <c r="M6" s="11" t="n"/>
    </row>
    <row r="7">
      <c r="A7" s="13" t="inlineStr">
        <is>
          <t>Hamburguer</t>
        </is>
      </c>
      <c r="B7" s="9" t="inlineStr">
        <is>
          <t>Hamburguer de Bacon + Batata frita</t>
        </is>
      </c>
      <c r="C7" s="9" t="inlineStr">
        <is>
          <t>Carne bovina 180g, brioche, cheddar, cebola caramelizada, bacon + batata</t>
        </is>
      </c>
      <c r="D7" s="14" t="n">
        <v>40</v>
      </c>
      <c r="E7" s="13" t="inlineStr">
        <is>
          <t>Sim</t>
        </is>
      </c>
      <c r="F7" s="15">
        <f>IF(INDEX(Categorias!$E:$E,MATCH(A7,Categorias!$A:$A,0))&lt;&gt;"",INDEX(Categorias!$E:$E,MATCH(A7,Categorias!$A:$A,0)),IF(INDEX(Categorias!$D:$D,MATCH(A7,Categorias!$A:$A,0))&lt;&gt;"",INDEX(Categorias!$D:$D,MATCH(A7,Categorias!$A:$A,0)),Empresa!$B$11))</f>
        <v/>
      </c>
      <c r="G7" s="16" t="n"/>
      <c r="H7" s="16" t="n"/>
      <c r="I7" s="16" t="n"/>
      <c r="J7" s="16" t="n"/>
      <c r="K7" s="16" t="n"/>
      <c r="L7" s="16" t="n"/>
      <c r="M7" s="11" t="n"/>
    </row>
    <row r="8">
      <c r="A8" s="13" t="inlineStr">
        <is>
          <t>Hamburguer</t>
        </is>
      </c>
      <c r="B8" s="9" t="inlineStr">
        <is>
          <t>Tortilha burguer + batata frita</t>
        </is>
      </c>
      <c r="C8" s="9" t="inlineStr">
        <is>
          <t>Tortilha de trigo, carne 180g, cebola, bacon, cheddar, salada, barbecue + batata</t>
        </is>
      </c>
      <c r="D8" s="14" t="n">
        <v>40</v>
      </c>
      <c r="E8" s="13" t="inlineStr">
        <is>
          <t>Sim</t>
        </is>
      </c>
      <c r="F8" s="15">
        <f>IF(INDEX(Categorias!$E:$E,MATCH(A8,Categorias!$A:$A,0))&lt;&gt;"",INDEX(Categorias!$E:$E,MATCH(A8,Categorias!$A:$A,0)),IF(INDEX(Categorias!$D:$D,MATCH(A8,Categorias!$A:$A,0))&lt;&gt;"",INDEX(Categorias!$D:$D,MATCH(A8,Categorias!$A:$A,0)),Empresa!$B$11))</f>
        <v/>
      </c>
      <c r="G8" s="16" t="n"/>
      <c r="H8" s="16" t="n"/>
      <c r="I8" s="16" t="n"/>
      <c r="J8" s="16" t="n"/>
      <c r="K8" s="16" t="n"/>
      <c r="L8" s="16" t="n"/>
      <c r="M8" s="11" t="n"/>
    </row>
    <row r="9">
      <c r="A9" s="17" t="inlineStr">
        <is>
          <t>Burrito</t>
        </is>
      </c>
      <c r="B9" s="18" t="inlineStr">
        <is>
          <t>Burritos Duo Mex</t>
        </is>
      </c>
      <c r="C9" s="18" t="inlineStr">
        <is>
          <t>Promoção: 2ª unidade com 50% de desconto</t>
        </is>
      </c>
      <c r="D9" s="19" t="n">
        <v>0</v>
      </c>
      <c r="E9" s="17" t="inlineStr">
        <is>
          <t>Não</t>
        </is>
      </c>
      <c r="F9" s="20">
        <f>IF(INDEX(Categorias!$E:$E,MATCH(A9,Categorias!$A:$A,0))&lt;&gt;"",INDEX(Categorias!$E:$E,MATCH(A9,Categorias!$A:$A,0)),IF(INDEX(Categorias!$D:$D,MATCH(A9,Categorias!$A:$A,0))&lt;&gt;"",INDEX(Categorias!$D:$D,MATCH(A9,Categorias!$A:$A,0)),Empresa!$B$11))</f>
        <v/>
      </c>
      <c r="G9" s="16" t="n"/>
      <c r="H9" s="16" t="n"/>
      <c r="I9" s="16" t="n"/>
      <c r="J9" s="16" t="n"/>
      <c r="K9" s="16" t="n"/>
      <c r="L9" s="16" t="n"/>
      <c r="M9" s="11" t="n"/>
    </row>
    <row r="10">
      <c r="A10" s="13" t="inlineStr">
        <is>
          <t>Burrito</t>
        </is>
      </c>
      <c r="B10" s="9" t="inlineStr">
        <is>
          <t>Burrito Classic Veggie</t>
        </is>
      </c>
      <c r="C10" s="9" t="inlineStr">
        <is>
          <t>Tortilla, chilli de soja, cheddar, alface, tomate, milho, jalapeño</t>
        </is>
      </c>
      <c r="D10" s="14" t="n">
        <v>38</v>
      </c>
      <c r="E10" s="13" t="inlineStr">
        <is>
          <t>Sim</t>
        </is>
      </c>
      <c r="F10" s="15">
        <f>IF(INDEX(Categorias!$E:$E,MATCH(A10,Categorias!$A:$A,0))&lt;&gt;"",INDEX(Categorias!$E:$E,MATCH(A10,Categorias!$A:$A,0)),IF(INDEX(Categorias!$D:$D,MATCH(A10,Categorias!$A:$A,0))&lt;&gt;"",INDEX(Categorias!$D:$D,MATCH(A10,Categorias!$A:$A,0)),Empresa!$B$11))</f>
        <v/>
      </c>
      <c r="G10" s="16" t="n"/>
      <c r="H10" s="16" t="n"/>
      <c r="I10" s="16" t="n"/>
      <c r="J10" s="16" t="n"/>
      <c r="K10" s="16" t="n"/>
      <c r="L10" s="16" t="n"/>
      <c r="M10" s="11" t="n"/>
    </row>
    <row r="11">
      <c r="A11" s="13" t="inlineStr">
        <is>
          <t>Burrito</t>
        </is>
      </c>
      <c r="B11" s="9" t="inlineStr">
        <is>
          <t>Burrito California</t>
        </is>
      </c>
      <c r="C11" s="9" t="inlineStr">
        <is>
          <t>Tortilla, barbacoa, batata frita, pico de galo, guacamole, sour cream</t>
        </is>
      </c>
      <c r="D11" s="14" t="n">
        <v>45</v>
      </c>
      <c r="E11" s="13" t="inlineStr">
        <is>
          <t>Sim</t>
        </is>
      </c>
      <c r="F11" s="15">
        <f>IF(INDEX(Categorias!$E:$E,MATCH(A11,Categorias!$A:$A,0))&lt;&gt;"",INDEX(Categorias!$E:$E,MATCH(A11,Categorias!$A:$A,0)),IF(INDEX(Categorias!$D:$D,MATCH(A11,Categorias!$A:$A,0))&lt;&gt;"",INDEX(Categorias!$D:$D,MATCH(A11,Categorias!$A:$A,0)),Empresa!$B$11))</f>
        <v/>
      </c>
      <c r="G11" s="16" t="n"/>
      <c r="H11" s="16" t="n"/>
      <c r="I11" s="16" t="n"/>
      <c r="J11" s="16" t="n"/>
      <c r="K11" s="16" t="n"/>
      <c r="L11" s="16" t="n"/>
      <c r="M11" s="11" t="n"/>
    </row>
    <row r="12">
      <c r="A12" s="13" t="inlineStr">
        <is>
          <t>Burrito</t>
        </is>
      </c>
      <c r="B12" s="9" t="inlineStr">
        <is>
          <t>Burrito Barbacoa</t>
        </is>
      </c>
      <c r="C12" s="9" t="inlineStr">
        <is>
          <t>Tortilla, barbacoa, mussarela, jalapeño, pico de galo, alface, rúcula</t>
        </is>
      </c>
      <c r="D12" s="14" t="n">
        <v>41</v>
      </c>
      <c r="E12" s="13" t="inlineStr">
        <is>
          <t>Sim</t>
        </is>
      </c>
      <c r="F12" s="15">
        <f>IF(INDEX(Categorias!$E:$E,MATCH(A12,Categorias!$A:$A,0))&lt;&gt;"",INDEX(Categorias!$E:$E,MATCH(A12,Categorias!$A:$A,0)),IF(INDEX(Categorias!$D:$D,MATCH(A12,Categorias!$A:$A,0))&lt;&gt;"",INDEX(Categorias!$D:$D,MATCH(A12,Categorias!$A:$A,0)),Empresa!$B$11))</f>
        <v/>
      </c>
      <c r="G12" s="16" t="n"/>
      <c r="H12" s="16" t="n"/>
      <c r="I12" s="16" t="n"/>
      <c r="J12" s="16" t="n"/>
      <c r="K12" s="16" t="n"/>
      <c r="L12" s="16" t="n"/>
      <c r="M12" s="11" t="n"/>
    </row>
    <row r="13">
      <c r="A13" s="13" t="inlineStr">
        <is>
          <t>Burrito</t>
        </is>
      </c>
      <c r="B13" s="9" t="inlineStr">
        <is>
          <t>Burrito Al Pastor</t>
        </is>
      </c>
      <c r="C13" s="9" t="inlineStr">
        <is>
          <t>Tortilla, pernil, bacon, pasta de feijão, abacaxi, cheddar, barbecue</t>
        </is>
      </c>
      <c r="D13" s="14" t="n">
        <v>38</v>
      </c>
      <c r="E13" s="13" t="inlineStr">
        <is>
          <t>Sim</t>
        </is>
      </c>
      <c r="F13" s="15">
        <f>IF(INDEX(Categorias!$E:$E,MATCH(A13,Categorias!$A:$A,0))&lt;&gt;"",INDEX(Categorias!$E:$E,MATCH(A13,Categorias!$A:$A,0)),IF(INDEX(Categorias!$D:$D,MATCH(A13,Categorias!$A:$A,0))&lt;&gt;"",INDEX(Categorias!$D:$D,MATCH(A13,Categorias!$A:$A,0)),Empresa!$B$11))</f>
        <v/>
      </c>
      <c r="G13" s="16" t="n"/>
      <c r="H13" s="16" t="n"/>
      <c r="I13" s="16" t="n"/>
      <c r="J13" s="16" t="n"/>
      <c r="K13" s="16" t="n"/>
      <c r="L13" s="16" t="n"/>
      <c r="M13" s="11" t="n"/>
    </row>
    <row r="14">
      <c r="A14" s="13" t="inlineStr">
        <is>
          <t>Burrito</t>
        </is>
      </c>
      <c r="B14" s="9" t="inlineStr">
        <is>
          <t>Burrito 4 quesos</t>
        </is>
      </c>
      <c r="C14" s="9" t="inlineStr">
        <is>
          <t>Tortilla, molho 4 queijos, frango, tomate, rúcula, bacon</t>
        </is>
      </c>
      <c r="D14" s="14" t="n">
        <v>38</v>
      </c>
      <c r="E14" s="13" t="inlineStr">
        <is>
          <t>Sim</t>
        </is>
      </c>
      <c r="F14" s="15">
        <f>IF(INDEX(Categorias!$E:$E,MATCH(A14,Categorias!$A:$A,0))&lt;&gt;"",INDEX(Categorias!$E:$E,MATCH(A14,Categorias!$A:$A,0)),IF(INDEX(Categorias!$D:$D,MATCH(A14,Categorias!$A:$A,0))&lt;&gt;"",INDEX(Categorias!$D:$D,MATCH(A14,Categorias!$A:$A,0)),Empresa!$B$11))</f>
        <v/>
      </c>
      <c r="G14" s="16" t="n"/>
      <c r="H14" s="16" t="n"/>
      <c r="I14" s="16" t="n"/>
      <c r="J14" s="16" t="n"/>
      <c r="K14" s="16" t="n"/>
      <c r="L14" s="16" t="n"/>
      <c r="M14" s="11" t="n"/>
    </row>
    <row r="15">
      <c r="A15" s="13" t="inlineStr">
        <is>
          <t>Burrito</t>
        </is>
      </c>
      <c r="B15" s="9" t="inlineStr">
        <is>
          <t>Burrito Classic</t>
        </is>
      </c>
      <c r="C15" s="9" t="inlineStr">
        <is>
          <t>Tortilla, chilli con carne, bacon, cheddar, barbecue, alface, tomate, jalapeño</t>
        </is>
      </c>
      <c r="D15" s="14" t="n">
        <v>38</v>
      </c>
      <c r="E15" s="13" t="inlineStr">
        <is>
          <t>Sim</t>
        </is>
      </c>
      <c r="F15" s="15">
        <f>IF(INDEX(Categorias!$E:$E,MATCH(A15,Categorias!$A:$A,0))&lt;&gt;"",INDEX(Categorias!$E:$E,MATCH(A15,Categorias!$A:$A,0)),IF(INDEX(Categorias!$D:$D,MATCH(A15,Categorias!$A:$A,0))&lt;&gt;"",INDEX(Categorias!$D:$D,MATCH(A15,Categorias!$A:$A,0)),Empresa!$B$11))</f>
        <v/>
      </c>
      <c r="G15" s="16" t="n"/>
      <c r="H15" s="16" t="n"/>
      <c r="I15" s="16" t="n"/>
      <c r="J15" s="16" t="n"/>
      <c r="K15" s="16" t="n"/>
      <c r="L15" s="16" t="n"/>
      <c r="M15" s="11" t="n"/>
    </row>
    <row r="16">
      <c r="A16" s="13" t="inlineStr">
        <is>
          <t>Quesadillas</t>
        </is>
      </c>
      <c r="B16" s="9" t="inlineStr">
        <is>
          <t>Quesadilla Pollo</t>
        </is>
      </c>
      <c r="C16" s="9" t="inlineStr">
        <is>
          <t>Tortilla, tiras de frango, bacon, mussarela, cheddar</t>
        </is>
      </c>
      <c r="D16" s="14" t="n">
        <v>21</v>
      </c>
      <c r="E16" s="13" t="inlineStr">
        <is>
          <t>Sim</t>
        </is>
      </c>
      <c r="F16" s="15">
        <f>IF(INDEX(Categorias!$E:$E,MATCH(A16,Categorias!$A:$A,0))&lt;&gt;"",INDEX(Categorias!$E:$E,MATCH(A16,Categorias!$A:$A,0)),IF(INDEX(Categorias!$D:$D,MATCH(A16,Categorias!$A:$A,0))&lt;&gt;"",INDEX(Categorias!$D:$D,MATCH(A16,Categorias!$A:$A,0)),Empresa!$B$11))</f>
        <v/>
      </c>
      <c r="G16" s="16" t="n"/>
      <c r="H16" s="16" t="n"/>
      <c r="I16" s="16" t="n"/>
      <c r="J16" s="16" t="n"/>
      <c r="K16" s="16" t="n"/>
      <c r="L16" s="16" t="n"/>
      <c r="M16" s="11" t="n"/>
    </row>
    <row r="17">
      <c r="A17" s="17" t="inlineStr">
        <is>
          <t>Quesadillas</t>
        </is>
      </c>
      <c r="B17" s="18" t="inlineStr">
        <is>
          <t>Quesadilla barbacoa</t>
        </is>
      </c>
      <c r="C17" s="18" t="inlineStr">
        <is>
          <t>Tortilla, barbacoa, pico de galo, mussarela</t>
        </is>
      </c>
      <c r="D17" s="19" t="n">
        <v>21</v>
      </c>
      <c r="E17" s="17" t="inlineStr">
        <is>
          <t>Não</t>
        </is>
      </c>
      <c r="F17" s="20">
        <f>IF(INDEX(Categorias!$E:$E,MATCH(A17,Categorias!$A:$A,0))&lt;&gt;"",INDEX(Categorias!$E:$E,MATCH(A17,Categorias!$A:$A,0)),IF(INDEX(Categorias!$D:$D,MATCH(A17,Categorias!$A:$A,0))&lt;&gt;"",INDEX(Categorias!$D:$D,MATCH(A17,Categorias!$A:$A,0)),Empresa!$B$11))</f>
        <v/>
      </c>
      <c r="G17" s="16" t="n"/>
      <c r="H17" s="16" t="n"/>
      <c r="I17" s="16" t="n"/>
      <c r="J17" s="16" t="n"/>
      <c r="K17" s="16" t="n"/>
      <c r="L17" s="16" t="n"/>
      <c r="M17" s="11" t="n"/>
    </row>
    <row r="18">
      <c r="A18" s="13" t="inlineStr">
        <is>
          <t>Quesadillas</t>
        </is>
      </c>
      <c r="B18" s="9" t="inlineStr">
        <is>
          <t>Quesadilla Al pastor</t>
        </is>
      </c>
      <c r="C18" s="9" t="inlineStr">
        <is>
          <t>Tortilla, pernil, abacaxi, barbecue, mussarela, cheddar</t>
        </is>
      </c>
      <c r="D18" s="14" t="n">
        <v>21</v>
      </c>
      <c r="E18" s="13" t="inlineStr">
        <is>
          <t>Sim</t>
        </is>
      </c>
      <c r="F18" s="15">
        <f>IF(INDEX(Categorias!$E:$E,MATCH(A18,Categorias!$A:$A,0))&lt;&gt;"",INDEX(Categorias!$E:$E,MATCH(A18,Categorias!$A:$A,0)),IF(INDEX(Categorias!$D:$D,MATCH(A18,Categorias!$A:$A,0))&lt;&gt;"",INDEX(Categorias!$D:$D,MATCH(A18,Categorias!$A:$A,0)),Empresa!$B$11))</f>
        <v/>
      </c>
      <c r="G18" s="16" t="n"/>
      <c r="H18" s="16" t="n"/>
      <c r="I18" s="16" t="n"/>
      <c r="J18" s="16" t="n"/>
      <c r="K18" s="16" t="n"/>
      <c r="L18" s="16" t="n"/>
      <c r="M18" s="11" t="n"/>
    </row>
    <row r="19">
      <c r="A19" s="13" t="inlineStr">
        <is>
          <t>Quesadillas</t>
        </is>
      </c>
      <c r="B19" s="9" t="inlineStr">
        <is>
          <t>Quesadilla Chilli con Carne</t>
        </is>
      </c>
      <c r="C19" s="9" t="inlineStr">
        <is>
          <t>Tortilla, chilli con carne, mussarela, cheddar</t>
        </is>
      </c>
      <c r="D19" s="14" t="n">
        <v>21</v>
      </c>
      <c r="E19" s="13" t="inlineStr">
        <is>
          <t>Sim</t>
        </is>
      </c>
      <c r="F19" s="15">
        <f>IF(INDEX(Categorias!$E:$E,MATCH(A19,Categorias!$A:$A,0))&lt;&gt;"",INDEX(Categorias!$E:$E,MATCH(A19,Categorias!$A:$A,0)),IF(INDEX(Categorias!$D:$D,MATCH(A19,Categorias!$A:$A,0))&lt;&gt;"",INDEX(Categorias!$D:$D,MATCH(A19,Categorias!$A:$A,0)),Empresa!$B$11))</f>
        <v/>
      </c>
      <c r="G19" s="16" t="n"/>
      <c r="H19" s="16" t="n"/>
      <c r="I19" s="16" t="n"/>
      <c r="J19" s="16" t="n"/>
      <c r="K19" s="16" t="n"/>
      <c r="L19" s="16" t="n"/>
      <c r="M19" s="11" t="n"/>
    </row>
    <row r="20">
      <c r="A20" s="13" t="inlineStr">
        <is>
          <t>Quesadillas</t>
        </is>
      </c>
      <c r="B20" s="9" t="inlineStr">
        <is>
          <t>Quesadilla ovomaltine</t>
        </is>
      </c>
      <c r="C20" s="9" t="inlineStr">
        <is>
          <t>Tortilla, chocolate branco Ovomaltine, mussarela (doce)</t>
        </is>
      </c>
      <c r="D20" s="14" t="n">
        <v>18</v>
      </c>
      <c r="E20" s="13" t="inlineStr">
        <is>
          <t>Sim</t>
        </is>
      </c>
      <c r="F20" s="15">
        <f>IF(INDEX(Categorias!$E:$E,MATCH(A20,Categorias!$A:$A,0))&lt;&gt;"",INDEX(Categorias!$E:$E,MATCH(A20,Categorias!$A:$A,0)),IF(INDEX(Categorias!$D:$D,MATCH(A20,Categorias!$A:$A,0))&lt;&gt;"",INDEX(Categorias!$D:$D,MATCH(A20,Categorias!$A:$A,0)),Empresa!$B$11))</f>
        <v/>
      </c>
      <c r="G20" s="16" t="n"/>
      <c r="H20" s="16" t="n"/>
      <c r="I20" s="16" t="n"/>
      <c r="J20" s="16" t="n"/>
      <c r="K20" s="16" t="n"/>
      <c r="L20" s="16" t="n"/>
      <c r="M20" s="21" t="inlineStr">
        <is>
          <t>⚠ Doce: mantém 21069090?</t>
        </is>
      </c>
    </row>
    <row r="21">
      <c r="A21" s="13" t="inlineStr">
        <is>
          <t>Tacos</t>
        </is>
      </c>
      <c r="B21" s="9" t="inlineStr">
        <is>
          <t>Trio de tacos</t>
        </is>
      </c>
      <c r="C21" s="9" t="inlineStr">
        <is>
          <t>3 tacos: classic, caliente e al pastor</t>
        </is>
      </c>
      <c r="D21" s="14" t="n">
        <v>44</v>
      </c>
      <c r="E21" s="13" t="inlineStr">
        <is>
          <t>Sim</t>
        </is>
      </c>
      <c r="F21" s="15">
        <f>IF(INDEX(Categorias!$E:$E,MATCH(A21,Categorias!$A:$A,0))&lt;&gt;"",INDEX(Categorias!$E:$E,MATCH(A21,Categorias!$A:$A,0)),IF(INDEX(Categorias!$D:$D,MATCH(A21,Categorias!$A:$A,0))&lt;&gt;"",INDEX(Categorias!$D:$D,MATCH(A21,Categorias!$A:$A,0)),Empresa!$B$11))</f>
        <v/>
      </c>
      <c r="G21" s="16" t="n"/>
      <c r="H21" s="16" t="n"/>
      <c r="I21" s="16" t="n"/>
      <c r="J21" s="16" t="n"/>
      <c r="K21" s="16" t="n"/>
      <c r="L21" s="16" t="n"/>
      <c r="M21" s="11" t="n"/>
    </row>
    <row r="22">
      <c r="A22" s="13" t="inlineStr">
        <is>
          <t>Nachos</t>
        </is>
      </c>
      <c r="B22" s="9" t="inlineStr">
        <is>
          <t>Nachos Chilli con Carne</t>
        </is>
      </c>
      <c r="C22" s="9" t="inlineStr">
        <is>
          <t>Tortilla chips, chilli con carne, cheddar, mussarela, guacamole, sour cream</t>
        </is>
      </c>
      <c r="D22" s="14" t="n">
        <v>38</v>
      </c>
      <c r="E22" s="13" t="inlineStr">
        <is>
          <t>Sim</t>
        </is>
      </c>
      <c r="F22" s="15">
        <f>IF(INDEX(Categorias!$E:$E,MATCH(A22,Categorias!$A:$A,0))&lt;&gt;"",INDEX(Categorias!$E:$E,MATCH(A22,Categorias!$A:$A,0)),IF(INDEX(Categorias!$D:$D,MATCH(A22,Categorias!$A:$A,0))&lt;&gt;"",INDEX(Categorias!$D:$D,MATCH(A22,Categorias!$A:$A,0)),Empresa!$B$11))</f>
        <v/>
      </c>
      <c r="G22" s="16" t="n"/>
      <c r="H22" s="16" t="n"/>
      <c r="I22" s="16" t="n"/>
      <c r="J22" s="16" t="n"/>
      <c r="K22" s="16" t="n"/>
      <c r="L22" s="16" t="n"/>
      <c r="M22" s="11" t="n"/>
    </row>
    <row r="23">
      <c r="A23" s="13" t="inlineStr">
        <is>
          <t>Pasteis</t>
        </is>
      </c>
      <c r="B23" s="9" t="inlineStr">
        <is>
          <t>Pastel abacaxi gelado</t>
        </is>
      </c>
      <c r="C23" s="9" t="inlineStr">
        <is>
          <t>Pastel doce: chocolate branco, abacaxi e coco</t>
        </is>
      </c>
      <c r="D23" s="14" t="n">
        <v>18</v>
      </c>
      <c r="E23" s="13" t="inlineStr">
        <is>
          <t>Sim</t>
        </is>
      </c>
      <c r="F23" s="15">
        <f>IF(INDEX(Categorias!$E:$E,MATCH(A23,Categorias!$A:$A,0))&lt;&gt;"",INDEX(Categorias!$E:$E,MATCH(A23,Categorias!$A:$A,0)),IF(INDEX(Categorias!$D:$D,MATCH(A23,Categorias!$A:$A,0))&lt;&gt;"",INDEX(Categorias!$D:$D,MATCH(A23,Categorias!$A:$A,0)),Empresa!$B$11))</f>
        <v/>
      </c>
      <c r="G23" s="16" t="n"/>
      <c r="H23" s="16" t="n"/>
      <c r="I23" s="16" t="n"/>
      <c r="J23" s="16" t="n"/>
      <c r="K23" s="16" t="n"/>
      <c r="L23" s="16" t="n"/>
      <c r="M23" s="21" t="inlineStr">
        <is>
          <t>⚠ Doce: mantém NCM da categoria?</t>
        </is>
      </c>
    </row>
    <row r="24">
      <c r="A24" s="13" t="inlineStr">
        <is>
          <t>Pasteis</t>
        </is>
      </c>
      <c r="B24" s="9" t="inlineStr">
        <is>
          <t>Pastel de carne</t>
        </is>
      </c>
      <c r="C24" s="9" t="inlineStr">
        <is>
          <t>Carne, mussarela e ovo</t>
        </is>
      </c>
      <c r="D24" s="14" t="n">
        <v>18</v>
      </c>
      <c r="E24" s="13" t="inlineStr">
        <is>
          <t>Sim</t>
        </is>
      </c>
      <c r="F24" s="15">
        <f>IF(INDEX(Categorias!$E:$E,MATCH(A24,Categorias!$A:$A,0))&lt;&gt;"",INDEX(Categorias!$E:$E,MATCH(A24,Categorias!$A:$A,0)),IF(INDEX(Categorias!$D:$D,MATCH(A24,Categorias!$A:$A,0))&lt;&gt;"",INDEX(Categorias!$D:$D,MATCH(A24,Categorias!$A:$A,0)),Empresa!$B$11))</f>
        <v/>
      </c>
      <c r="G24" s="16" t="n"/>
      <c r="H24" s="16" t="n"/>
      <c r="I24" s="16" t="n"/>
      <c r="J24" s="16" t="n"/>
      <c r="K24" s="16" t="n"/>
      <c r="L24" s="16" t="n"/>
      <c r="M24" s="11" t="n"/>
    </row>
    <row r="25">
      <c r="A25" s="13" t="inlineStr">
        <is>
          <t>Pasteis</t>
        </is>
      </c>
      <c r="B25" s="9" t="inlineStr">
        <is>
          <t>Pastel sensação caribe</t>
        </is>
      </c>
      <c r="C25" s="9" t="inlineStr">
        <is>
          <t>Pastel doce: chocolate branco, morango e coco</t>
        </is>
      </c>
      <c r="D25" s="14" t="n">
        <v>18</v>
      </c>
      <c r="E25" s="13" t="inlineStr">
        <is>
          <t>Sim</t>
        </is>
      </c>
      <c r="F25" s="15">
        <f>IF(INDEX(Categorias!$E:$E,MATCH(A25,Categorias!$A:$A,0))&lt;&gt;"",INDEX(Categorias!$E:$E,MATCH(A25,Categorias!$A:$A,0)),IF(INDEX(Categorias!$D:$D,MATCH(A25,Categorias!$A:$A,0))&lt;&gt;"",INDEX(Categorias!$D:$D,MATCH(A25,Categorias!$A:$A,0)),Empresa!$B$11))</f>
        <v/>
      </c>
      <c r="G25" s="16" t="n"/>
      <c r="H25" s="16" t="n"/>
      <c r="I25" s="16" t="n"/>
      <c r="J25" s="16" t="n"/>
      <c r="K25" s="16" t="n"/>
      <c r="L25" s="16" t="n"/>
      <c r="M25" s="21" t="inlineStr">
        <is>
          <t>⚠ Doce: mantém NCM da categoria?</t>
        </is>
      </c>
    </row>
    <row r="26">
      <c r="A26" s="13" t="inlineStr">
        <is>
          <t>Pasteis</t>
        </is>
      </c>
      <c r="B26" s="9" t="inlineStr">
        <is>
          <t>Pastel de queijo</t>
        </is>
      </c>
      <c r="C26" s="9" t="inlineStr">
        <is>
          <t>Queijo mussarela</t>
        </is>
      </c>
      <c r="D26" s="14" t="n">
        <v>18</v>
      </c>
      <c r="E26" s="13" t="inlineStr">
        <is>
          <t>Sim</t>
        </is>
      </c>
      <c r="F26" s="15">
        <f>IF(INDEX(Categorias!$E:$E,MATCH(A26,Categorias!$A:$A,0))&lt;&gt;"",INDEX(Categorias!$E:$E,MATCH(A26,Categorias!$A:$A,0)),IF(INDEX(Categorias!$D:$D,MATCH(A26,Categorias!$A:$A,0))&lt;&gt;"",INDEX(Categorias!$D:$D,MATCH(A26,Categorias!$A:$A,0)),Empresa!$B$11))</f>
        <v/>
      </c>
      <c r="G26" s="16" t="n"/>
      <c r="H26" s="16" t="n"/>
      <c r="I26" s="16" t="n"/>
      <c r="J26" s="16" t="n"/>
      <c r="K26" s="16" t="n"/>
      <c r="L26" s="16" t="n"/>
      <c r="M26" s="11" t="n"/>
    </row>
    <row r="27">
      <c r="A27" s="13" t="inlineStr">
        <is>
          <t>Pasteis</t>
        </is>
      </c>
      <c r="B27" s="9" t="inlineStr">
        <is>
          <t>Pastel calabresa</t>
        </is>
      </c>
      <c r="C27" s="9" t="inlineStr">
        <is>
          <t>Calabresa e mussarela</t>
        </is>
      </c>
      <c r="D27" s="14" t="n">
        <v>18</v>
      </c>
      <c r="E27" s="13" t="inlineStr">
        <is>
          <t>Sim</t>
        </is>
      </c>
      <c r="F27" s="15">
        <f>IF(INDEX(Categorias!$E:$E,MATCH(A27,Categorias!$A:$A,0))&lt;&gt;"",INDEX(Categorias!$E:$E,MATCH(A27,Categorias!$A:$A,0)),IF(INDEX(Categorias!$D:$D,MATCH(A27,Categorias!$A:$A,0))&lt;&gt;"",INDEX(Categorias!$D:$D,MATCH(A27,Categorias!$A:$A,0)),Empresa!$B$11))</f>
        <v/>
      </c>
      <c r="G27" s="16" t="n"/>
      <c r="H27" s="16" t="n"/>
      <c r="I27" s="16" t="n"/>
      <c r="J27" s="16" t="n"/>
      <c r="K27" s="16" t="n"/>
      <c r="L27" s="16" t="n"/>
      <c r="M27" s="11" t="n"/>
    </row>
    <row r="28">
      <c r="A28" s="17" t="inlineStr">
        <is>
          <t>Pasteis</t>
        </is>
      </c>
      <c r="B28" s="18" t="inlineStr">
        <is>
          <t>Pastel palmito</t>
        </is>
      </c>
      <c r="C28" s="18" t="inlineStr">
        <is>
          <t>Palmito e mussarela</t>
        </is>
      </c>
      <c r="D28" s="19" t="n">
        <v>18</v>
      </c>
      <c r="E28" s="17" t="inlineStr">
        <is>
          <t>Não</t>
        </is>
      </c>
      <c r="F28" s="20">
        <f>IF(INDEX(Categorias!$E:$E,MATCH(A28,Categorias!$A:$A,0))&lt;&gt;"",INDEX(Categorias!$E:$E,MATCH(A28,Categorias!$A:$A,0)),IF(INDEX(Categorias!$D:$D,MATCH(A28,Categorias!$A:$A,0))&lt;&gt;"",INDEX(Categorias!$D:$D,MATCH(A28,Categorias!$A:$A,0)),Empresa!$B$11))</f>
        <v/>
      </c>
      <c r="G28" s="16" t="n"/>
      <c r="H28" s="16" t="n"/>
      <c r="I28" s="16" t="n"/>
      <c r="J28" s="16" t="n"/>
      <c r="K28" s="16" t="n"/>
      <c r="L28" s="16" t="n"/>
      <c r="M28" s="11" t="n"/>
    </row>
    <row r="29">
      <c r="A29" s="13" t="inlineStr">
        <is>
          <t>Pasteis</t>
        </is>
      </c>
      <c r="B29" s="9" t="inlineStr">
        <is>
          <t>Pastel de frango</t>
        </is>
      </c>
      <c r="C29" s="9" t="inlineStr">
        <is>
          <t>Frango, mussarela, catupiry</t>
        </is>
      </c>
      <c r="D29" s="14" t="n">
        <v>18</v>
      </c>
      <c r="E29" s="13" t="inlineStr">
        <is>
          <t>Sim</t>
        </is>
      </c>
      <c r="F29" s="15">
        <f>IF(INDEX(Categorias!$E:$E,MATCH(A29,Categorias!$A:$A,0))&lt;&gt;"",INDEX(Categorias!$E:$E,MATCH(A29,Categorias!$A:$A,0)),IF(INDEX(Categorias!$D:$D,MATCH(A29,Categorias!$A:$A,0))&lt;&gt;"",INDEX(Categorias!$D:$D,MATCH(A29,Categorias!$A:$A,0)),Empresa!$B$11))</f>
        <v/>
      </c>
      <c r="G29" s="16" t="n"/>
      <c r="H29" s="16" t="n"/>
      <c r="I29" s="16" t="n"/>
      <c r="J29" s="16" t="n"/>
      <c r="K29" s="16" t="n"/>
      <c r="L29" s="16" t="n"/>
      <c r="M29" s="11" t="n"/>
    </row>
    <row r="30">
      <c r="A30" s="13" t="inlineStr">
        <is>
          <t>Pasteis</t>
        </is>
      </c>
      <c r="B30" s="9" t="inlineStr">
        <is>
          <t>Frango caipira</t>
        </is>
      </c>
      <c r="C30" s="9" t="inlineStr">
        <is>
          <t>Pastel: frango, mussarela, ovo, bacon, milho</t>
        </is>
      </c>
      <c r="D30" s="14" t="n">
        <v>25</v>
      </c>
      <c r="E30" s="13" t="inlineStr">
        <is>
          <t>Sim</t>
        </is>
      </c>
      <c r="F30" s="15">
        <f>IF(INDEX(Categorias!$E:$E,MATCH(A30,Categorias!$A:$A,0))&lt;&gt;"",INDEX(Categorias!$E:$E,MATCH(A30,Categorias!$A:$A,0)),IF(INDEX(Categorias!$D:$D,MATCH(A30,Categorias!$A:$A,0))&lt;&gt;"",INDEX(Categorias!$D:$D,MATCH(A30,Categorias!$A:$A,0)),Empresa!$B$11))</f>
        <v/>
      </c>
      <c r="G30" s="16" t="n"/>
      <c r="H30" s="16" t="n"/>
      <c r="I30" s="16" t="n"/>
      <c r="J30" s="16" t="n"/>
      <c r="K30" s="16" t="n"/>
      <c r="L30" s="16" t="n"/>
      <c r="M30" s="11" t="n"/>
    </row>
    <row r="31">
      <c r="A31" s="13" t="inlineStr">
        <is>
          <t>Pasteis</t>
        </is>
      </c>
      <c r="B31" s="9" t="inlineStr">
        <is>
          <t>Pastel crocante</t>
        </is>
      </c>
      <c r="C31" s="9" t="inlineStr">
        <is>
          <t>Frango, mussarela, catupiry, bacon, batata palha</t>
        </is>
      </c>
      <c r="D31" s="14" t="n">
        <v>25</v>
      </c>
      <c r="E31" s="13" t="inlineStr">
        <is>
          <t>Sim</t>
        </is>
      </c>
      <c r="F31" s="15">
        <f>IF(INDEX(Categorias!$E:$E,MATCH(A31,Categorias!$A:$A,0))&lt;&gt;"",INDEX(Categorias!$E:$E,MATCH(A31,Categorias!$A:$A,0)),IF(INDEX(Categorias!$D:$D,MATCH(A31,Categorias!$A:$A,0))&lt;&gt;"",INDEX(Categorias!$D:$D,MATCH(A31,Categorias!$A:$A,0)),Empresa!$B$11))</f>
        <v/>
      </c>
      <c r="G31" s="16" t="n"/>
      <c r="H31" s="16" t="n"/>
      <c r="I31" s="16" t="n"/>
      <c r="J31" s="16" t="n"/>
      <c r="K31" s="16" t="n"/>
      <c r="L31" s="16" t="n"/>
      <c r="M31" s="11" t="n"/>
    </row>
    <row r="32">
      <c r="A32" s="13" t="inlineStr">
        <is>
          <t>Pasteis</t>
        </is>
      </c>
      <c r="B32" s="9" t="inlineStr">
        <is>
          <t>Pastel mexicano</t>
        </is>
      </c>
      <c r="C32" s="9" t="inlineStr">
        <is>
          <t>Chilli con carne, mussarela, calabresa, cheddar, doritos</t>
        </is>
      </c>
      <c r="D32" s="14" t="n">
        <v>25</v>
      </c>
      <c r="E32" s="13" t="inlineStr">
        <is>
          <t>Sim</t>
        </is>
      </c>
      <c r="F32" s="15">
        <f>IF(INDEX(Categorias!$E:$E,MATCH(A32,Categorias!$A:$A,0))&lt;&gt;"",INDEX(Categorias!$E:$E,MATCH(A32,Categorias!$A:$A,0)),IF(INDEX(Categorias!$D:$D,MATCH(A32,Categorias!$A:$A,0))&lt;&gt;"",INDEX(Categorias!$D:$D,MATCH(A32,Categorias!$A:$A,0)),Empresa!$B$11))</f>
        <v/>
      </c>
      <c r="G32" s="16" t="n"/>
      <c r="H32" s="16" t="n"/>
      <c r="I32" s="16" t="n"/>
      <c r="J32" s="16" t="n"/>
      <c r="K32" s="16" t="n"/>
      <c r="L32" s="16" t="n"/>
      <c r="M32" s="11" t="n"/>
    </row>
    <row r="33">
      <c r="A33" s="13" t="inlineStr">
        <is>
          <t>Pasteis</t>
        </is>
      </c>
      <c r="B33" s="9" t="inlineStr">
        <is>
          <t>Pastel a portuguesa</t>
        </is>
      </c>
      <c r="C33" s="9" t="inlineStr">
        <is>
          <t>Mussarela, presunto, ovo, cebola crispy</t>
        </is>
      </c>
      <c r="D33" s="14" t="n">
        <v>25</v>
      </c>
      <c r="E33" s="13" t="inlineStr">
        <is>
          <t>Sim</t>
        </is>
      </c>
      <c r="F33" s="15">
        <f>IF(INDEX(Categorias!$E:$E,MATCH(A33,Categorias!$A:$A,0))&lt;&gt;"",INDEX(Categorias!$E:$E,MATCH(A33,Categorias!$A:$A,0)),IF(INDEX(Categorias!$D:$D,MATCH(A33,Categorias!$A:$A,0))&lt;&gt;"",INDEX(Categorias!$D:$D,MATCH(A33,Categorias!$A:$A,0)),Empresa!$B$11))</f>
        <v/>
      </c>
      <c r="G33" s="16" t="n"/>
      <c r="H33" s="16" t="n"/>
      <c r="I33" s="16" t="n"/>
      <c r="J33" s="16" t="n"/>
      <c r="K33" s="16" t="n"/>
      <c r="L33" s="16" t="n"/>
      <c r="M33" s="11" t="n"/>
    </row>
    <row r="34">
      <c r="A34" s="13" t="inlineStr">
        <is>
          <t>Pasteis</t>
        </is>
      </c>
      <c r="B34" s="9" t="inlineStr">
        <is>
          <t>Pastel tudo</t>
        </is>
      </c>
      <c r="C34" s="9" t="inlineStr">
        <is>
          <t>Carne, mussarela, calabresa, palmito, frango, presunto</t>
        </is>
      </c>
      <c r="D34" s="14" t="n">
        <v>25</v>
      </c>
      <c r="E34" s="13" t="inlineStr">
        <is>
          <t>Sim</t>
        </is>
      </c>
      <c r="F34" s="15">
        <f>IF(INDEX(Categorias!$E:$E,MATCH(A34,Categorias!$A:$A,0))&lt;&gt;"",INDEX(Categorias!$E:$E,MATCH(A34,Categorias!$A:$A,0)),IF(INDEX(Categorias!$D:$D,MATCH(A34,Categorias!$A:$A,0))&lt;&gt;"",INDEX(Categorias!$D:$D,MATCH(A34,Categorias!$A:$A,0)),Empresa!$B$11))</f>
        <v/>
      </c>
      <c r="G34" s="16" t="n"/>
      <c r="H34" s="16" t="n"/>
      <c r="I34" s="16" t="n"/>
      <c r="J34" s="16" t="n"/>
      <c r="K34" s="16" t="n"/>
      <c r="L34" s="16" t="n"/>
      <c r="M34" s="11" t="n"/>
    </row>
    <row r="35">
      <c r="A35" s="13" t="inlineStr">
        <is>
          <t>Porções</t>
        </is>
      </c>
      <c r="B35" s="9" t="inlineStr">
        <is>
          <t>Batata frita</t>
        </is>
      </c>
      <c r="C35" s="9" t="inlineStr">
        <is>
          <t>400 g de batata frita com molho</t>
        </is>
      </c>
      <c r="D35" s="14" t="n">
        <v>35</v>
      </c>
      <c r="E35" s="13" t="inlineStr">
        <is>
          <t>Sim</t>
        </is>
      </c>
      <c r="F35" s="15">
        <f>IF(INDEX(Categorias!$E:$E,MATCH(A35,Categorias!$A:$A,0))&lt;&gt;"",INDEX(Categorias!$E:$E,MATCH(A35,Categorias!$A:$A,0)),IF(INDEX(Categorias!$D:$D,MATCH(A35,Categorias!$A:$A,0))&lt;&gt;"",INDEX(Categorias!$D:$D,MATCH(A35,Categorias!$A:$A,0)),Empresa!$B$11))</f>
        <v/>
      </c>
      <c r="G35" s="16" t="n"/>
      <c r="H35" s="16" t="n"/>
      <c r="I35" s="16" t="n"/>
      <c r="J35" s="16" t="n"/>
      <c r="K35" s="16" t="n"/>
      <c r="L35" s="16" t="n"/>
      <c r="M35" s="11" t="n"/>
    </row>
    <row r="36">
      <c r="A36" s="13" t="inlineStr">
        <is>
          <t>Porções</t>
        </is>
      </c>
      <c r="B36" s="9" t="inlineStr">
        <is>
          <t>Batata frita com chedder e bacon</t>
        </is>
      </c>
      <c r="C36" s="9" t="inlineStr">
        <is>
          <t>400 g de batata frita</t>
        </is>
      </c>
      <c r="D36" s="14" t="n">
        <v>40</v>
      </c>
      <c r="E36" s="13" t="inlineStr">
        <is>
          <t>Sim</t>
        </is>
      </c>
      <c r="F36" s="15">
        <f>IF(INDEX(Categorias!$E:$E,MATCH(A36,Categorias!$A:$A,0))&lt;&gt;"",INDEX(Categorias!$E:$E,MATCH(A36,Categorias!$A:$A,0)),IF(INDEX(Categorias!$D:$D,MATCH(A36,Categorias!$A:$A,0))&lt;&gt;"",INDEX(Categorias!$D:$D,MATCH(A36,Categorias!$A:$A,0)),Empresa!$B$11))</f>
        <v/>
      </c>
      <c r="G36" s="16" t="n"/>
      <c r="H36" s="16" t="n"/>
      <c r="I36" s="16" t="n"/>
      <c r="J36" s="16" t="n"/>
      <c r="K36" s="16" t="n"/>
      <c r="L36" s="16" t="n"/>
      <c r="M36" s="11" t="n"/>
    </row>
    <row r="37">
      <c r="A37" s="13" t="inlineStr">
        <is>
          <t>Porções</t>
        </is>
      </c>
      <c r="B37" s="9" t="inlineStr">
        <is>
          <t>Batata frita com 4 queijos e bacon</t>
        </is>
      </c>
      <c r="C37" s="9" t="inlineStr">
        <is>
          <t>400 g de batata frita</t>
        </is>
      </c>
      <c r="D37" s="14" t="n">
        <v>45</v>
      </c>
      <c r="E37" s="13" t="inlineStr">
        <is>
          <t>Sim</t>
        </is>
      </c>
      <c r="F37" s="15">
        <f>IF(INDEX(Categorias!$E:$E,MATCH(A37,Categorias!$A:$A,0))&lt;&gt;"",INDEX(Categorias!$E:$E,MATCH(A37,Categorias!$A:$A,0)),IF(INDEX(Categorias!$D:$D,MATCH(A37,Categorias!$A:$A,0))&lt;&gt;"",INDEX(Categorias!$D:$D,MATCH(A37,Categorias!$A:$A,0)),Empresa!$B$11))</f>
        <v/>
      </c>
      <c r="G37" s="16" t="n"/>
      <c r="H37" s="16" t="n"/>
      <c r="I37" s="16" t="n"/>
      <c r="J37" s="16" t="n"/>
      <c r="K37" s="16" t="n"/>
      <c r="L37" s="16" t="n"/>
      <c r="M37" s="11" t="n"/>
    </row>
    <row r="38">
      <c r="A38" s="13" t="inlineStr">
        <is>
          <t>Porções</t>
        </is>
      </c>
      <c r="B38" s="9" t="inlineStr">
        <is>
          <t>Polenta frita</t>
        </is>
      </c>
      <c r="C38" s="9" t="inlineStr">
        <is>
          <t>300 g de polenta frita</t>
        </is>
      </c>
      <c r="D38" s="14" t="n">
        <v>20</v>
      </c>
      <c r="E38" s="13" t="inlineStr">
        <is>
          <t>Sim</t>
        </is>
      </c>
      <c r="F38" s="15">
        <f>IF(INDEX(Categorias!$E:$E,MATCH(A38,Categorias!$A:$A,0))&lt;&gt;"",INDEX(Categorias!$E:$E,MATCH(A38,Categorias!$A:$A,0)),IF(INDEX(Categorias!$D:$D,MATCH(A38,Categorias!$A:$A,0))&lt;&gt;"",INDEX(Categorias!$D:$D,MATCH(A38,Categorias!$A:$A,0)),Empresa!$B$11))</f>
        <v/>
      </c>
      <c r="G38" s="16" t="n"/>
      <c r="H38" s="16" t="n"/>
      <c r="I38" s="16" t="n"/>
      <c r="J38" s="16" t="n"/>
      <c r="K38" s="16" t="n"/>
      <c r="L38" s="16" t="n"/>
      <c r="M38" s="11" t="n"/>
    </row>
    <row r="39">
      <c r="A39" s="13" t="inlineStr">
        <is>
          <t>Porções</t>
        </is>
      </c>
      <c r="B39" s="9" t="inlineStr">
        <is>
          <t>Mandioca frita</t>
        </is>
      </c>
      <c r="C39" s="9" t="inlineStr">
        <is>
          <t>400 g de mandioca frita</t>
        </is>
      </c>
      <c r="D39" s="14" t="n">
        <v>35</v>
      </c>
      <c r="E39" s="13" t="inlineStr">
        <is>
          <t>Sim</t>
        </is>
      </c>
      <c r="F39" s="15">
        <f>IF(INDEX(Categorias!$E:$E,MATCH(A39,Categorias!$A:$A,0))&lt;&gt;"",INDEX(Categorias!$E:$E,MATCH(A39,Categorias!$A:$A,0)),IF(INDEX(Categorias!$D:$D,MATCH(A39,Categorias!$A:$A,0))&lt;&gt;"",INDEX(Categorias!$D:$D,MATCH(A39,Categorias!$A:$A,0)),Empresa!$B$11))</f>
        <v/>
      </c>
      <c r="G39" s="16" t="n"/>
      <c r="H39" s="16" t="n"/>
      <c r="I39" s="16" t="n"/>
      <c r="J39" s="16" t="n"/>
      <c r="K39" s="16" t="n"/>
      <c r="L39" s="16" t="n"/>
      <c r="M39" s="11" t="n"/>
    </row>
    <row r="40">
      <c r="A40" s="13" t="inlineStr">
        <is>
          <t>Porções</t>
        </is>
      </c>
      <c r="B40" s="9" t="inlineStr">
        <is>
          <t>Isca de peixe</t>
        </is>
      </c>
      <c r="C40" s="9" t="inlineStr">
        <is>
          <t>400 g de isca de peixe empanada</t>
        </is>
      </c>
      <c r="D40" s="14" t="n">
        <v>55</v>
      </c>
      <c r="E40" s="13" t="inlineStr">
        <is>
          <t>Sim</t>
        </is>
      </c>
      <c r="F40" s="15">
        <f>IF(INDEX(Categorias!$E:$E,MATCH(A40,Categorias!$A:$A,0))&lt;&gt;"",INDEX(Categorias!$E:$E,MATCH(A40,Categorias!$A:$A,0)),IF(INDEX(Categorias!$D:$D,MATCH(A40,Categorias!$A:$A,0))&lt;&gt;"",INDEX(Categorias!$D:$D,MATCH(A40,Categorias!$A:$A,0)),Empresa!$B$11))</f>
        <v/>
      </c>
      <c r="G40" s="16" t="n"/>
      <c r="H40" s="16" t="n"/>
      <c r="I40" s="16" t="n"/>
      <c r="J40" s="16" t="n"/>
      <c r="K40" s="16" t="n"/>
      <c r="L40" s="16" t="n"/>
      <c r="M40" s="11" t="n"/>
    </row>
    <row r="41">
      <c r="A41" s="17" t="inlineStr">
        <is>
          <t>Porções</t>
        </is>
      </c>
      <c r="B41" s="18" t="inlineStr">
        <is>
          <t>Camarão empanado</t>
        </is>
      </c>
      <c r="C41" s="18" t="inlineStr">
        <is>
          <t>400 g de camarão empanado</t>
        </is>
      </c>
      <c r="D41" s="19" t="n">
        <v>70</v>
      </c>
      <c r="E41" s="17" t="inlineStr">
        <is>
          <t>Não</t>
        </is>
      </c>
      <c r="F41" s="20">
        <f>IF(INDEX(Categorias!$E:$E,MATCH(A41,Categorias!$A:$A,0))&lt;&gt;"",INDEX(Categorias!$E:$E,MATCH(A41,Categorias!$A:$A,0)),IF(INDEX(Categorias!$D:$D,MATCH(A41,Categorias!$A:$A,0))&lt;&gt;"",INDEX(Categorias!$D:$D,MATCH(A41,Categorias!$A:$A,0)),Empresa!$B$11))</f>
        <v/>
      </c>
      <c r="G41" s="16" t="n"/>
      <c r="H41" s="16" t="n"/>
      <c r="I41" s="16" t="n"/>
      <c r="J41" s="16" t="n"/>
      <c r="K41" s="16" t="n"/>
      <c r="L41" s="16" t="n"/>
      <c r="M41" s="11" t="n"/>
    </row>
    <row r="42">
      <c r="A42" s="17" t="inlineStr">
        <is>
          <t>Espetinhos</t>
        </is>
      </c>
      <c r="B42" s="18" t="inlineStr">
        <is>
          <t>Espetinho de Carne com bacon</t>
        </is>
      </c>
      <c r="C42" s="18" t="inlineStr"/>
      <c r="D42" s="19" t="n">
        <v>15</v>
      </c>
      <c r="E42" s="17" t="inlineStr">
        <is>
          <t>Não</t>
        </is>
      </c>
      <c r="F42" s="20">
        <f>IF(INDEX(Categorias!$E:$E,MATCH(A42,Categorias!$A:$A,0))&lt;&gt;"",INDEX(Categorias!$E:$E,MATCH(A42,Categorias!$A:$A,0)),IF(INDEX(Categorias!$D:$D,MATCH(A42,Categorias!$A:$A,0))&lt;&gt;"",INDEX(Categorias!$D:$D,MATCH(A42,Categorias!$A:$A,0)),Empresa!$B$11))</f>
        <v/>
      </c>
      <c r="G42" s="16" t="n"/>
      <c r="H42" s="16" t="n"/>
      <c r="I42" s="16" t="n"/>
      <c r="J42" s="16" t="n"/>
      <c r="K42" s="16" t="n"/>
      <c r="L42" s="16" t="n"/>
      <c r="M42" s="11" t="n"/>
    </row>
    <row r="43">
      <c r="A43" s="17" t="inlineStr">
        <is>
          <t>Espetinhos</t>
        </is>
      </c>
      <c r="B43" s="18" t="inlineStr">
        <is>
          <t>Espetinho de coração</t>
        </is>
      </c>
      <c r="C43" s="18" t="inlineStr"/>
      <c r="D43" s="19" t="n">
        <v>12</v>
      </c>
      <c r="E43" s="17" t="inlineStr">
        <is>
          <t>Não</t>
        </is>
      </c>
      <c r="F43" s="20">
        <f>IF(INDEX(Categorias!$E:$E,MATCH(A43,Categorias!$A:$A,0))&lt;&gt;"",INDEX(Categorias!$E:$E,MATCH(A43,Categorias!$A:$A,0)),IF(INDEX(Categorias!$D:$D,MATCH(A43,Categorias!$A:$A,0))&lt;&gt;"",INDEX(Categorias!$D:$D,MATCH(A43,Categorias!$A:$A,0)),Empresa!$B$11))</f>
        <v/>
      </c>
      <c r="G43" s="16" t="n"/>
      <c r="H43" s="16" t="n"/>
      <c r="I43" s="16" t="n"/>
      <c r="J43" s="16" t="n"/>
      <c r="K43" s="16" t="n"/>
      <c r="L43" s="16" t="n"/>
      <c r="M43" s="11" t="n"/>
    </row>
    <row r="44">
      <c r="A44" s="13" t="inlineStr">
        <is>
          <t>Espetinhos</t>
        </is>
      </c>
      <c r="B44" s="9" t="inlineStr">
        <is>
          <t>Espetinho de queijo coalho</t>
        </is>
      </c>
      <c r="C44" s="9" t="inlineStr"/>
      <c r="D44" s="14" t="n">
        <v>12</v>
      </c>
      <c r="E44" s="13" t="inlineStr">
        <is>
          <t>Sim</t>
        </is>
      </c>
      <c r="F44" s="15">
        <f>IF(INDEX(Categorias!$E:$E,MATCH(A44,Categorias!$A:$A,0))&lt;&gt;"",INDEX(Categorias!$E:$E,MATCH(A44,Categorias!$A:$A,0)),IF(INDEX(Categorias!$D:$D,MATCH(A44,Categorias!$A:$A,0))&lt;&gt;"",INDEX(Categorias!$D:$D,MATCH(A44,Categorias!$A:$A,0)),Empresa!$B$11))</f>
        <v/>
      </c>
      <c r="G44" s="16" t="n"/>
      <c r="H44" s="16" t="n"/>
      <c r="I44" s="16" t="n"/>
      <c r="J44" s="16" t="n"/>
      <c r="K44" s="16" t="n"/>
      <c r="L44" s="16" t="n"/>
      <c r="M44" s="11" t="n"/>
    </row>
    <row r="45">
      <c r="A45" s="13" t="inlineStr">
        <is>
          <t>Espetinhos</t>
        </is>
      </c>
      <c r="B45" s="9" t="inlineStr">
        <is>
          <t>Pão de alho</t>
        </is>
      </c>
      <c r="C45" s="9" t="inlineStr"/>
      <c r="D45" s="14" t="n">
        <v>12</v>
      </c>
      <c r="E45" s="13" t="inlineStr">
        <is>
          <t>Sim</t>
        </is>
      </c>
      <c r="F45" s="15">
        <f>IF(INDEX(Categorias!$E:$E,MATCH(A45,Categorias!$A:$A,0))&lt;&gt;"",INDEX(Categorias!$E:$E,MATCH(A45,Categorias!$A:$A,0)),IF(INDEX(Categorias!$D:$D,MATCH(A45,Categorias!$A:$A,0))&lt;&gt;"",INDEX(Categorias!$D:$D,MATCH(A45,Categorias!$A:$A,0)),Empresa!$B$11))</f>
        <v/>
      </c>
      <c r="G45" s="16" t="n"/>
      <c r="H45" s="16" t="n"/>
      <c r="I45" s="16" t="n"/>
      <c r="J45" s="16" t="n"/>
      <c r="K45" s="16" t="n"/>
      <c r="L45" s="16" t="n"/>
      <c r="M45" s="11" t="n"/>
    </row>
    <row r="46">
      <c r="A46" s="17" t="inlineStr">
        <is>
          <t>Espetinhos</t>
        </is>
      </c>
      <c r="B46" s="18" t="inlineStr">
        <is>
          <t>Espetinho de kafta</t>
        </is>
      </c>
      <c r="C46" s="18" t="inlineStr"/>
      <c r="D46" s="19" t="n">
        <v>15</v>
      </c>
      <c r="E46" s="17" t="inlineStr">
        <is>
          <t>Não</t>
        </is>
      </c>
      <c r="F46" s="20">
        <f>IF(INDEX(Categorias!$E:$E,MATCH(A46,Categorias!$A:$A,0))&lt;&gt;"",INDEX(Categorias!$E:$E,MATCH(A46,Categorias!$A:$A,0)),IF(INDEX(Categorias!$D:$D,MATCH(A46,Categorias!$A:$A,0))&lt;&gt;"",INDEX(Categorias!$D:$D,MATCH(A46,Categorias!$A:$A,0)),Empresa!$B$11))</f>
        <v/>
      </c>
      <c r="G46" s="16" t="n"/>
      <c r="H46" s="16" t="n"/>
      <c r="I46" s="16" t="n"/>
      <c r="J46" s="16" t="n"/>
      <c r="K46" s="16" t="n"/>
      <c r="L46" s="16" t="n"/>
      <c r="M46" s="11" t="n"/>
    </row>
    <row r="47">
      <c r="A47" s="17" t="inlineStr">
        <is>
          <t>Espetinhos</t>
        </is>
      </c>
      <c r="B47" s="18" t="inlineStr">
        <is>
          <t>Espetinho asinha de frango</t>
        </is>
      </c>
      <c r="C47" s="18" t="inlineStr"/>
      <c r="D47" s="19" t="n">
        <v>12</v>
      </c>
      <c r="E47" s="17" t="inlineStr">
        <is>
          <t>Não</t>
        </is>
      </c>
      <c r="F47" s="20">
        <f>IF(INDEX(Categorias!$E:$E,MATCH(A47,Categorias!$A:$A,0))&lt;&gt;"",INDEX(Categorias!$E:$E,MATCH(A47,Categorias!$A:$A,0)),IF(INDEX(Categorias!$D:$D,MATCH(A47,Categorias!$A:$A,0))&lt;&gt;"",INDEX(Categorias!$D:$D,MATCH(A47,Categorias!$A:$A,0)),Empresa!$B$11))</f>
        <v/>
      </c>
      <c r="G47" s="16" t="n"/>
      <c r="H47" s="16" t="n"/>
      <c r="I47" s="16" t="n"/>
      <c r="J47" s="16" t="n"/>
      <c r="K47" s="16" t="n"/>
      <c r="L47" s="16" t="n"/>
      <c r="M47" s="11" t="n"/>
    </row>
    <row r="48">
      <c r="A48" s="13" t="inlineStr">
        <is>
          <t>Churros</t>
        </is>
      </c>
      <c r="B48" s="9" t="inlineStr">
        <is>
          <t>Churros</t>
        </is>
      </c>
      <c r="C48" s="9" t="inlineStr">
        <is>
          <t>8 unidades de churros</t>
        </is>
      </c>
      <c r="D48" s="14" t="n">
        <v>25</v>
      </c>
      <c r="E48" s="13" t="inlineStr">
        <is>
          <t>Sim</t>
        </is>
      </c>
      <c r="F48" s="15">
        <f>IF(INDEX(Categorias!$E:$E,MATCH(A48,Categorias!$A:$A,0))&lt;&gt;"",INDEX(Categorias!$E:$E,MATCH(A48,Categorias!$A:$A,0)),IF(INDEX(Categorias!$D:$D,MATCH(A48,Categorias!$A:$A,0))&lt;&gt;"",INDEX(Categorias!$D:$D,MATCH(A48,Categorias!$A:$A,0)),Empresa!$B$11))</f>
        <v/>
      </c>
      <c r="G48" s="16" t="n"/>
      <c r="H48" s="16" t="n"/>
      <c r="I48" s="16" t="n"/>
      <c r="J48" s="16" t="n"/>
      <c r="K48" s="16" t="n"/>
      <c r="L48" s="16" t="n"/>
      <c r="M48" s="11" t="n"/>
    </row>
    <row r="49">
      <c r="A49" s="13" t="inlineStr">
        <is>
          <t>Bebidas</t>
        </is>
      </c>
      <c r="B49" s="9" t="inlineStr">
        <is>
          <t>Coca-cola original</t>
        </is>
      </c>
      <c r="C49" s="9" t="inlineStr">
        <is>
          <t>Refrigerante em lata/garrafa (revenda)</t>
        </is>
      </c>
      <c r="D49" s="14" t="n">
        <v>8</v>
      </c>
      <c r="E49" s="13" t="inlineStr">
        <is>
          <t>Sim</t>
        </is>
      </c>
      <c r="F49" s="15">
        <f>IF(INDEX(Categorias!$E:$E,MATCH(A49,Categorias!$A:$A,0))&lt;&gt;"",INDEX(Categorias!$E:$E,MATCH(A49,Categorias!$A:$A,0)),IF(INDEX(Categorias!$D:$D,MATCH(A49,Categorias!$A:$A,0))&lt;&gt;"",INDEX(Categorias!$D:$D,MATCH(A49,Categorias!$A:$A,0)),Empresa!$B$11))</f>
        <v/>
      </c>
      <c r="G49" s="16" t="n"/>
      <c r="H49" s="16" t="n"/>
      <c r="I49" s="16" t="n"/>
      <c r="J49" s="16" t="n"/>
      <c r="K49" s="16" t="n"/>
      <c r="L49" s="16" t="n"/>
      <c r="M49" s="11" t="n"/>
    </row>
    <row r="50">
      <c r="A50" s="13" t="inlineStr">
        <is>
          <t>Bebidas</t>
        </is>
      </c>
      <c r="B50" s="9" t="inlineStr">
        <is>
          <t>Coca cola Zero</t>
        </is>
      </c>
      <c r="C50" s="9" t="inlineStr">
        <is>
          <t>Refrigerante (revenda)</t>
        </is>
      </c>
      <c r="D50" s="14" t="n">
        <v>8</v>
      </c>
      <c r="E50" s="13" t="inlineStr">
        <is>
          <t>Sim</t>
        </is>
      </c>
      <c r="F50" s="15">
        <f>IF(INDEX(Categorias!$E:$E,MATCH(A50,Categorias!$A:$A,0))&lt;&gt;"",INDEX(Categorias!$E:$E,MATCH(A50,Categorias!$A:$A,0)),IF(INDEX(Categorias!$D:$D,MATCH(A50,Categorias!$A:$A,0))&lt;&gt;"",INDEX(Categorias!$D:$D,MATCH(A50,Categorias!$A:$A,0)),Empresa!$B$11))</f>
        <v/>
      </c>
      <c r="G50" s="16" t="n"/>
      <c r="H50" s="16" t="n"/>
      <c r="I50" s="16" t="n"/>
      <c r="J50" s="16" t="n"/>
      <c r="K50" s="16" t="n"/>
      <c r="L50" s="16" t="n"/>
      <c r="M50" s="11" t="n"/>
    </row>
    <row r="51">
      <c r="A51" s="17" t="inlineStr">
        <is>
          <t>Bebidas</t>
        </is>
      </c>
      <c r="B51" s="18" t="inlineStr">
        <is>
          <t>Guaraná</t>
        </is>
      </c>
      <c r="C51" s="18" t="inlineStr">
        <is>
          <t>Refrigerante (revenda)</t>
        </is>
      </c>
      <c r="D51" s="19" t="n">
        <v>8</v>
      </c>
      <c r="E51" s="17" t="inlineStr">
        <is>
          <t>Não</t>
        </is>
      </c>
      <c r="F51" s="20">
        <f>IF(INDEX(Categorias!$E:$E,MATCH(A51,Categorias!$A:$A,0))&lt;&gt;"",INDEX(Categorias!$E:$E,MATCH(A51,Categorias!$A:$A,0)),IF(INDEX(Categorias!$D:$D,MATCH(A51,Categorias!$A:$A,0))&lt;&gt;"",INDEX(Categorias!$D:$D,MATCH(A51,Categorias!$A:$A,0)),Empresa!$B$11))</f>
        <v/>
      </c>
      <c r="G51" s="16" t="n"/>
      <c r="H51" s="16" t="n"/>
      <c r="I51" s="16" t="n"/>
      <c r="J51" s="16" t="n"/>
      <c r="K51" s="16" t="n"/>
      <c r="L51" s="16" t="n"/>
      <c r="M51" s="11" t="n"/>
    </row>
    <row r="52">
      <c r="A52" s="13" t="inlineStr">
        <is>
          <t>Bebidas</t>
        </is>
      </c>
      <c r="B52" s="9" t="inlineStr">
        <is>
          <t>Fanta uva</t>
        </is>
      </c>
      <c r="C52" s="9" t="inlineStr">
        <is>
          <t>Refrigerante (revenda)</t>
        </is>
      </c>
      <c r="D52" s="14" t="n">
        <v>8</v>
      </c>
      <c r="E52" s="13" t="inlineStr">
        <is>
          <t>Sim</t>
        </is>
      </c>
      <c r="F52" s="15">
        <f>IF(INDEX(Categorias!$E:$E,MATCH(A52,Categorias!$A:$A,0))&lt;&gt;"",INDEX(Categorias!$E:$E,MATCH(A52,Categorias!$A:$A,0)),IF(INDEX(Categorias!$D:$D,MATCH(A52,Categorias!$A:$A,0))&lt;&gt;"",INDEX(Categorias!$D:$D,MATCH(A52,Categorias!$A:$A,0)),Empresa!$B$11))</f>
        <v/>
      </c>
      <c r="G52" s="16" t="n"/>
      <c r="H52" s="16" t="n"/>
      <c r="I52" s="16" t="n"/>
      <c r="J52" s="16" t="n"/>
      <c r="K52" s="16" t="n"/>
      <c r="L52" s="16" t="n"/>
      <c r="M52" s="11" t="n"/>
    </row>
    <row r="53">
      <c r="A53" s="13" t="inlineStr">
        <is>
          <t>Bebidas</t>
        </is>
      </c>
      <c r="B53" s="9" t="inlineStr">
        <is>
          <t>Fanta laranja</t>
        </is>
      </c>
      <c r="C53" s="9" t="inlineStr">
        <is>
          <t>Refrigerante (revenda)</t>
        </is>
      </c>
      <c r="D53" s="14" t="n">
        <v>8</v>
      </c>
      <c r="E53" s="13" t="inlineStr">
        <is>
          <t>Sim</t>
        </is>
      </c>
      <c r="F53" s="15">
        <f>IF(INDEX(Categorias!$E:$E,MATCH(A53,Categorias!$A:$A,0))&lt;&gt;"",INDEX(Categorias!$E:$E,MATCH(A53,Categorias!$A:$A,0)),IF(INDEX(Categorias!$D:$D,MATCH(A53,Categorias!$A:$A,0))&lt;&gt;"",INDEX(Categorias!$D:$D,MATCH(A53,Categorias!$A:$A,0)),Empresa!$B$11))</f>
        <v/>
      </c>
      <c r="G53" s="16" t="n"/>
      <c r="H53" s="16" t="n"/>
      <c r="I53" s="16" t="n"/>
      <c r="J53" s="16" t="n"/>
      <c r="K53" s="16" t="n"/>
      <c r="L53" s="16" t="n"/>
      <c r="M53" s="11" t="n"/>
    </row>
    <row r="54">
      <c r="A54" s="13" t="inlineStr">
        <is>
          <t>Bebidas</t>
        </is>
      </c>
      <c r="B54" s="9" t="inlineStr">
        <is>
          <t>Del valle Pêssego</t>
        </is>
      </c>
      <c r="C54" s="9" t="inlineStr">
        <is>
          <t>Néctar de fruta industrializado (revenda)</t>
        </is>
      </c>
      <c r="D54" s="14" t="n">
        <v>8</v>
      </c>
      <c r="E54" s="13" t="inlineStr">
        <is>
          <t>Sim</t>
        </is>
      </c>
      <c r="F54" s="15">
        <f>IF(INDEX(Categorias!$E:$E,MATCH(A54,Categorias!$A:$A,0))&lt;&gt;"",INDEX(Categorias!$E:$E,MATCH(A54,Categorias!$A:$A,0)),IF(INDEX(Categorias!$D:$D,MATCH(A54,Categorias!$A:$A,0))&lt;&gt;"",INDEX(Categorias!$D:$D,MATCH(A54,Categorias!$A:$A,0)),Empresa!$B$11))</f>
        <v/>
      </c>
      <c r="G54" s="16" t="n"/>
      <c r="H54" s="16" t="n"/>
      <c r="I54" s="16" t="n"/>
      <c r="J54" s="16" t="n"/>
      <c r="K54" s="16" t="n"/>
      <c r="L54" s="16" t="n"/>
      <c r="M54" s="11" t="n"/>
    </row>
    <row r="55">
      <c r="A55" s="13" t="inlineStr">
        <is>
          <t>Bebidas</t>
        </is>
      </c>
      <c r="B55" s="9" t="inlineStr">
        <is>
          <t>Del valle Uva</t>
        </is>
      </c>
      <c r="C55" s="9" t="inlineStr">
        <is>
          <t>Néctar de fruta industrializado (revenda)</t>
        </is>
      </c>
      <c r="D55" s="14" t="n">
        <v>8</v>
      </c>
      <c r="E55" s="13" t="inlineStr">
        <is>
          <t>Sim</t>
        </is>
      </c>
      <c r="F55" s="15">
        <f>IF(INDEX(Categorias!$E:$E,MATCH(A55,Categorias!$A:$A,0))&lt;&gt;"",INDEX(Categorias!$E:$E,MATCH(A55,Categorias!$A:$A,0)),IF(INDEX(Categorias!$D:$D,MATCH(A55,Categorias!$A:$A,0))&lt;&gt;"",INDEX(Categorias!$D:$D,MATCH(A55,Categorias!$A:$A,0)),Empresa!$B$11))</f>
        <v/>
      </c>
      <c r="G55" s="16" t="n"/>
      <c r="H55" s="16" t="n"/>
      <c r="I55" s="16" t="n"/>
      <c r="J55" s="16" t="n"/>
      <c r="K55" s="16" t="n"/>
      <c r="L55" s="16" t="n"/>
      <c r="M55" s="11" t="n"/>
    </row>
    <row r="56">
      <c r="A56" s="13" t="inlineStr">
        <is>
          <t>Bebidas</t>
        </is>
      </c>
      <c r="B56" s="9" t="inlineStr">
        <is>
          <t>Del valle Maracujá</t>
        </is>
      </c>
      <c r="C56" s="9" t="inlineStr">
        <is>
          <t>Néctar de fruta industrializado (revenda)</t>
        </is>
      </c>
      <c r="D56" s="14" t="n">
        <v>8</v>
      </c>
      <c r="E56" s="13" t="inlineStr">
        <is>
          <t>Sim</t>
        </is>
      </c>
      <c r="F56" s="15">
        <f>IF(INDEX(Categorias!$E:$E,MATCH(A56,Categorias!$A:$A,0))&lt;&gt;"",INDEX(Categorias!$E:$E,MATCH(A56,Categorias!$A:$A,0)),IF(INDEX(Categorias!$D:$D,MATCH(A56,Categorias!$A:$A,0))&lt;&gt;"",INDEX(Categorias!$D:$D,MATCH(A56,Categorias!$A:$A,0)),Empresa!$B$11))</f>
        <v/>
      </c>
      <c r="G56" s="16" t="n"/>
      <c r="H56" s="16" t="n"/>
      <c r="I56" s="16" t="n"/>
      <c r="J56" s="16" t="n"/>
      <c r="K56" s="16" t="n"/>
      <c r="L56" s="16" t="n"/>
      <c r="M56" s="11" t="n"/>
    </row>
    <row r="57">
      <c r="A57" s="13" t="inlineStr">
        <is>
          <t>Bebidas</t>
        </is>
      </c>
      <c r="B57" s="9" t="inlineStr">
        <is>
          <t>Del valle de manga</t>
        </is>
      </c>
      <c r="C57" s="9" t="inlineStr">
        <is>
          <t>Néctar de fruta industrializado (revenda)</t>
        </is>
      </c>
      <c r="D57" s="14" t="n">
        <v>8</v>
      </c>
      <c r="E57" s="13" t="inlineStr">
        <is>
          <t>Sim</t>
        </is>
      </c>
      <c r="F57" s="15">
        <f>IF(INDEX(Categorias!$E:$E,MATCH(A57,Categorias!$A:$A,0))&lt;&gt;"",INDEX(Categorias!$E:$E,MATCH(A57,Categorias!$A:$A,0)),IF(INDEX(Categorias!$D:$D,MATCH(A57,Categorias!$A:$A,0))&lt;&gt;"",INDEX(Categorias!$D:$D,MATCH(A57,Categorias!$A:$A,0)),Empresa!$B$11))</f>
        <v/>
      </c>
      <c r="G57" s="16" t="n"/>
      <c r="H57" s="16" t="n"/>
      <c r="I57" s="16" t="n"/>
      <c r="J57" s="16" t="n"/>
      <c r="K57" s="16" t="n"/>
      <c r="L57" s="16" t="n"/>
      <c r="M57" s="11" t="n"/>
    </row>
    <row r="58">
      <c r="A58" s="13" t="inlineStr">
        <is>
          <t>Bebidas</t>
        </is>
      </c>
      <c r="B58" s="9" t="inlineStr">
        <is>
          <t>Água sem gás</t>
        </is>
      </c>
      <c r="C58" s="9" t="inlineStr">
        <is>
          <t>Água mineral (revenda) — NCM provável 2201.90.00</t>
        </is>
      </c>
      <c r="D58" s="14" t="n">
        <v>5</v>
      </c>
      <c r="E58" s="13" t="inlineStr">
        <is>
          <t>Sim</t>
        </is>
      </c>
      <c r="F58" s="15">
        <f>IF(INDEX(Categorias!$E:$E,MATCH(A58,Categorias!$A:$A,0))&lt;&gt;"",INDEX(Categorias!$E:$E,MATCH(A58,Categorias!$A:$A,0)),IF(INDEX(Categorias!$D:$D,MATCH(A58,Categorias!$A:$A,0))&lt;&gt;"",INDEX(Categorias!$D:$D,MATCH(A58,Categorias!$A:$A,0)),Empresa!$B$11))</f>
        <v/>
      </c>
      <c r="G58" s="16" t="n"/>
      <c r="H58" s="16" t="n"/>
      <c r="I58" s="16" t="n"/>
      <c r="J58" s="16" t="n"/>
      <c r="K58" s="16" t="n"/>
      <c r="L58" s="16" t="n"/>
      <c r="M58" s="21" t="inlineStr">
        <is>
          <t>⚠ Provável 22019000 (água mineral sem gás)</t>
        </is>
      </c>
    </row>
    <row r="59">
      <c r="A59" s="13" t="inlineStr">
        <is>
          <t>Bebidas</t>
        </is>
      </c>
      <c r="B59" s="9" t="inlineStr">
        <is>
          <t>Água com gás</t>
        </is>
      </c>
      <c r="C59" s="9" t="inlineStr">
        <is>
          <t>Água mineral gaseificada (revenda) — NCM provável 2201.10.00</t>
        </is>
      </c>
      <c r="D59" s="14" t="n">
        <v>5</v>
      </c>
      <c r="E59" s="13" t="inlineStr">
        <is>
          <t>Sim</t>
        </is>
      </c>
      <c r="F59" s="15">
        <f>IF(INDEX(Categorias!$E:$E,MATCH(A59,Categorias!$A:$A,0))&lt;&gt;"",INDEX(Categorias!$E:$E,MATCH(A59,Categorias!$A:$A,0)),IF(INDEX(Categorias!$D:$D,MATCH(A59,Categorias!$A:$A,0))&lt;&gt;"",INDEX(Categorias!$D:$D,MATCH(A59,Categorias!$A:$A,0)),Empresa!$B$11))</f>
        <v/>
      </c>
      <c r="G59" s="16" t="n"/>
      <c r="H59" s="16" t="n"/>
      <c r="I59" s="16" t="n"/>
      <c r="J59" s="16" t="n"/>
      <c r="K59" s="16" t="n"/>
      <c r="L59" s="16" t="n"/>
      <c r="M59" s="21" t="inlineStr">
        <is>
          <t>⚠ Provável 22011000 (água com gás)</t>
        </is>
      </c>
    </row>
    <row r="60">
      <c r="A60" s="17" t="inlineStr">
        <is>
          <t>Sucos</t>
        </is>
      </c>
      <c r="B60" s="18" t="inlineStr">
        <is>
          <t>Suco de maracujá - 500 ml</t>
        </is>
      </c>
      <c r="C60" s="18" t="inlineStr">
        <is>
          <t>Suco natural feito na hora</t>
        </is>
      </c>
      <c r="D60" s="19" t="n">
        <v>12</v>
      </c>
      <c r="E60" s="17" t="inlineStr">
        <is>
          <t>Não</t>
        </is>
      </c>
      <c r="F60" s="20">
        <f>IF(INDEX(Categorias!$E:$E,MATCH(A60,Categorias!$A:$A,0))&lt;&gt;"",INDEX(Categorias!$E:$E,MATCH(A60,Categorias!$A:$A,0)),IF(INDEX(Categorias!$D:$D,MATCH(A60,Categorias!$A:$A,0))&lt;&gt;"",INDEX(Categorias!$D:$D,MATCH(A60,Categorias!$A:$A,0)),Empresa!$B$11))</f>
        <v/>
      </c>
      <c r="G60" s="16" t="n"/>
      <c r="H60" s="16" t="n"/>
      <c r="I60" s="16" t="n"/>
      <c r="J60" s="16" t="n"/>
      <c r="K60" s="16" t="n"/>
      <c r="L60" s="16" t="n"/>
      <c r="M60" s="11" t="n"/>
    </row>
    <row r="61">
      <c r="A61" s="13" t="inlineStr">
        <is>
          <t>Sucos</t>
        </is>
      </c>
      <c r="B61" s="9" t="inlineStr">
        <is>
          <t>Suco natural abacaxi com hortelã - 500 ml</t>
        </is>
      </c>
      <c r="C61" s="9" t="inlineStr">
        <is>
          <t>Suco natural feito na hora</t>
        </is>
      </c>
      <c r="D61" s="14" t="n">
        <v>12</v>
      </c>
      <c r="E61" s="13" t="inlineStr">
        <is>
          <t>Sim</t>
        </is>
      </c>
      <c r="F61" s="15">
        <f>IF(INDEX(Categorias!$E:$E,MATCH(A61,Categorias!$A:$A,0))&lt;&gt;"",INDEX(Categorias!$E:$E,MATCH(A61,Categorias!$A:$A,0)),IF(INDEX(Categorias!$D:$D,MATCH(A61,Categorias!$A:$A,0))&lt;&gt;"",INDEX(Categorias!$D:$D,MATCH(A61,Categorias!$A:$A,0)),Empresa!$B$11))</f>
        <v/>
      </c>
      <c r="G61" s="16" t="n"/>
      <c r="H61" s="16" t="n"/>
      <c r="I61" s="16" t="n"/>
      <c r="J61" s="16" t="n"/>
      <c r="K61" s="16" t="n"/>
      <c r="L61" s="16" t="n"/>
      <c r="M61" s="11" t="n"/>
    </row>
    <row r="62">
      <c r="A62" s="17" t="inlineStr">
        <is>
          <t>Sucos</t>
        </is>
      </c>
      <c r="B62" s="18" t="inlineStr">
        <is>
          <t>Suco natural de morango - 500 ml</t>
        </is>
      </c>
      <c r="C62" s="18" t="inlineStr">
        <is>
          <t>Suco natural feito na hora</t>
        </is>
      </c>
      <c r="D62" s="19" t="n">
        <v>12</v>
      </c>
      <c r="E62" s="17" t="inlineStr">
        <is>
          <t>Não</t>
        </is>
      </c>
      <c r="F62" s="20">
        <f>IF(INDEX(Categorias!$E:$E,MATCH(A62,Categorias!$A:$A,0))&lt;&gt;"",INDEX(Categorias!$E:$E,MATCH(A62,Categorias!$A:$A,0)),IF(INDEX(Categorias!$D:$D,MATCH(A62,Categorias!$A:$A,0))&lt;&gt;"",INDEX(Categorias!$D:$D,MATCH(A62,Categorias!$A:$A,0)),Empresa!$B$11))</f>
        <v/>
      </c>
      <c r="G62" s="16" t="n"/>
      <c r="H62" s="16" t="n"/>
      <c r="I62" s="16" t="n"/>
      <c r="J62" s="16" t="n"/>
      <c r="K62" s="16" t="n"/>
      <c r="L62" s="16" t="n"/>
      <c r="M62" s="11" t="n"/>
    </row>
    <row r="63">
      <c r="A63" s="17" t="inlineStr">
        <is>
          <t>Drinks</t>
        </is>
      </c>
      <c r="B63" s="18" t="inlineStr">
        <is>
          <t>2xCaipirinha de morango</t>
        </is>
      </c>
      <c r="C63" s="18" t="inlineStr">
        <is>
          <t>Drink alcoólico preparado na casa (cachaça)</t>
        </is>
      </c>
      <c r="D63" s="19" t="n">
        <v>50</v>
      </c>
      <c r="E63" s="17" t="inlineStr">
        <is>
          <t>Não</t>
        </is>
      </c>
      <c r="F63" s="20">
        <f>IF(INDEX(Categorias!$E:$E,MATCH(A63,Categorias!$A:$A,0))&lt;&gt;"",INDEX(Categorias!$E:$E,MATCH(A63,Categorias!$A:$A,0)),IF(INDEX(Categorias!$D:$D,MATCH(A63,Categorias!$A:$A,0))&lt;&gt;"",INDEX(Categorias!$D:$D,MATCH(A63,Categorias!$A:$A,0)),Empresa!$B$11))</f>
        <v/>
      </c>
      <c r="G63" s="16" t="n"/>
      <c r="H63" s="16" t="n"/>
      <c r="I63" s="16" t="n"/>
      <c r="J63" s="16" t="n"/>
      <c r="K63" s="16" t="n"/>
      <c r="L63" s="16" t="n"/>
      <c r="M63" s="11" t="n"/>
    </row>
    <row r="64">
      <c r="A64" s="13" t="inlineStr">
        <is>
          <t>Drinks</t>
        </is>
      </c>
      <c r="B64" s="9" t="inlineStr">
        <is>
          <t>Pink limonade</t>
        </is>
      </c>
      <c r="C64" s="9" t="inlineStr">
        <is>
          <t>Limonada com xarope e água com gás — SEM álcool</t>
        </is>
      </c>
      <c r="D64" s="14" t="n">
        <v>20</v>
      </c>
      <c r="E64" s="13" t="inlineStr">
        <is>
          <t>Sim</t>
        </is>
      </c>
      <c r="F64" s="15">
        <f>IF(INDEX(Categorias!$E:$E,MATCH(A64,Categorias!$A:$A,0))&lt;&gt;"",INDEX(Categorias!$E:$E,MATCH(A64,Categorias!$A:$A,0)),IF(INDEX(Categorias!$D:$D,MATCH(A64,Categorias!$A:$A,0))&lt;&gt;"",INDEX(Categorias!$D:$D,MATCH(A64,Categorias!$A:$A,0)),Empresa!$B$11))</f>
        <v/>
      </c>
      <c r="G64" s="16" t="n"/>
      <c r="H64" s="16" t="n"/>
      <c r="I64" s="16" t="n"/>
      <c r="J64" s="16" t="n"/>
      <c r="K64" s="16" t="n"/>
      <c r="L64" s="16" t="n"/>
      <c r="M64" s="21" t="inlineStr">
        <is>
          <t>⚠ Sem álcool: NCM de bebida não alcoólica (22021000 ou 22029900)?</t>
        </is>
      </c>
    </row>
    <row r="65">
      <c r="A65" s="13" t="inlineStr">
        <is>
          <t>Drinks</t>
        </is>
      </c>
      <c r="B65" s="9" t="inlineStr">
        <is>
          <t>Soda italiana maçã verde</t>
        </is>
      </c>
      <c r="C65" s="9" t="inlineStr">
        <is>
          <t>Xarope de fruta e água com gás — SEM álcool</t>
        </is>
      </c>
      <c r="D65" s="14" t="n">
        <v>20</v>
      </c>
      <c r="E65" s="13" t="inlineStr">
        <is>
          <t>Sim</t>
        </is>
      </c>
      <c r="F65" s="15">
        <f>IF(INDEX(Categorias!$E:$E,MATCH(A65,Categorias!$A:$A,0))&lt;&gt;"",INDEX(Categorias!$E:$E,MATCH(A65,Categorias!$A:$A,0)),IF(INDEX(Categorias!$D:$D,MATCH(A65,Categorias!$A:$A,0))&lt;&gt;"",INDEX(Categorias!$D:$D,MATCH(A65,Categorias!$A:$A,0)),Empresa!$B$11))</f>
        <v/>
      </c>
      <c r="G65" s="16" t="n"/>
      <c r="H65" s="16" t="n"/>
      <c r="I65" s="16" t="n"/>
      <c r="J65" s="16" t="n"/>
      <c r="K65" s="16" t="n"/>
      <c r="L65" s="16" t="n"/>
      <c r="M65" s="21" t="inlineStr">
        <is>
          <t>⚠ Sem álcool: NCM de bebida não alcoólica?</t>
        </is>
      </c>
    </row>
    <row r="66">
      <c r="A66" s="13" t="inlineStr">
        <is>
          <t>Drinks</t>
        </is>
      </c>
      <c r="B66" s="9" t="inlineStr">
        <is>
          <t>Soda italiana frutas vermelhas</t>
        </is>
      </c>
      <c r="C66" s="9" t="inlineStr">
        <is>
          <t>Xarope de fruta e água com gás — SEM álcool</t>
        </is>
      </c>
      <c r="D66" s="14" t="n">
        <v>20</v>
      </c>
      <c r="E66" s="13" t="inlineStr">
        <is>
          <t>Sim</t>
        </is>
      </c>
      <c r="F66" s="15">
        <f>IF(INDEX(Categorias!$E:$E,MATCH(A66,Categorias!$A:$A,0))&lt;&gt;"",INDEX(Categorias!$E:$E,MATCH(A66,Categorias!$A:$A,0)),IF(INDEX(Categorias!$D:$D,MATCH(A66,Categorias!$A:$A,0))&lt;&gt;"",INDEX(Categorias!$D:$D,MATCH(A66,Categorias!$A:$A,0)),Empresa!$B$11))</f>
        <v/>
      </c>
      <c r="G66" s="16" t="n"/>
      <c r="H66" s="16" t="n"/>
      <c r="I66" s="16" t="n"/>
      <c r="J66" s="16" t="n"/>
      <c r="K66" s="16" t="n"/>
      <c r="L66" s="16" t="n"/>
      <c r="M66" s="21" t="inlineStr">
        <is>
          <t>⚠ Sem álcool: NCM de bebida não alcoólica?</t>
        </is>
      </c>
    </row>
    <row r="67">
      <c r="A67" s="13" t="inlineStr">
        <is>
          <t>Drinks</t>
        </is>
      </c>
      <c r="B67" s="9" t="inlineStr">
        <is>
          <t>Soda italiana blueberry</t>
        </is>
      </c>
      <c r="C67" s="9" t="inlineStr">
        <is>
          <t>Xarope de fruta e água com gás — SEM álcool</t>
        </is>
      </c>
      <c r="D67" s="14" t="n">
        <v>20</v>
      </c>
      <c r="E67" s="13" t="inlineStr">
        <is>
          <t>Sim</t>
        </is>
      </c>
      <c r="F67" s="15">
        <f>IF(INDEX(Categorias!$E:$E,MATCH(A67,Categorias!$A:$A,0))&lt;&gt;"",INDEX(Categorias!$E:$E,MATCH(A67,Categorias!$A:$A,0)),IF(INDEX(Categorias!$D:$D,MATCH(A67,Categorias!$A:$A,0))&lt;&gt;"",INDEX(Categorias!$D:$D,MATCH(A67,Categorias!$A:$A,0)),Empresa!$B$11))</f>
        <v/>
      </c>
      <c r="G67" s="16" t="n"/>
      <c r="H67" s="16" t="n"/>
      <c r="I67" s="16" t="n"/>
      <c r="J67" s="16" t="n"/>
      <c r="K67" s="16" t="n"/>
      <c r="L67" s="16" t="n"/>
      <c r="M67" s="21" t="inlineStr">
        <is>
          <t>⚠ Sem álcool: NCM de bebida não alcoólica?</t>
        </is>
      </c>
    </row>
    <row r="68">
      <c r="A68" s="13" t="inlineStr">
        <is>
          <t>Drinks</t>
        </is>
      </c>
      <c r="B68" s="9" t="inlineStr">
        <is>
          <t>PIna Colada</t>
        </is>
      </c>
      <c r="C68" s="9" t="inlineStr">
        <is>
          <t>Drink alcoólico preparado na casa (rum)</t>
        </is>
      </c>
      <c r="D68" s="14" t="n">
        <v>30</v>
      </c>
      <c r="E68" s="13" t="inlineStr">
        <is>
          <t>Sim</t>
        </is>
      </c>
      <c r="F68" s="15">
        <f>IF(INDEX(Categorias!$E:$E,MATCH(A68,Categorias!$A:$A,0))&lt;&gt;"",INDEX(Categorias!$E:$E,MATCH(A68,Categorias!$A:$A,0)),IF(INDEX(Categorias!$D:$D,MATCH(A68,Categorias!$A:$A,0))&lt;&gt;"",INDEX(Categorias!$D:$D,MATCH(A68,Categorias!$A:$A,0)),Empresa!$B$11))</f>
        <v/>
      </c>
      <c r="G68" s="16" t="n"/>
      <c r="H68" s="16" t="n"/>
      <c r="I68" s="16" t="n"/>
      <c r="J68" s="16" t="n"/>
      <c r="K68" s="16" t="n"/>
      <c r="L68" s="16" t="n"/>
      <c r="M68" s="11" t="n"/>
    </row>
    <row r="69">
      <c r="A69" s="13" t="inlineStr">
        <is>
          <t>Drinks</t>
        </is>
      </c>
      <c r="B69" s="9" t="inlineStr">
        <is>
          <t>Caipirinha de limão</t>
        </is>
      </c>
      <c r="C69" s="9" t="inlineStr">
        <is>
          <t>Drink alcoólico preparado na casa (cachaça)</t>
        </is>
      </c>
      <c r="D69" s="14" t="n">
        <v>20</v>
      </c>
      <c r="E69" s="13" t="inlineStr">
        <is>
          <t>Sim</t>
        </is>
      </c>
      <c r="F69" s="15">
        <f>IF(INDEX(Categorias!$E:$E,MATCH(A69,Categorias!$A:$A,0))&lt;&gt;"",INDEX(Categorias!$E:$E,MATCH(A69,Categorias!$A:$A,0)),IF(INDEX(Categorias!$D:$D,MATCH(A69,Categorias!$A:$A,0))&lt;&gt;"",INDEX(Categorias!$D:$D,MATCH(A69,Categorias!$A:$A,0)),Empresa!$B$11))</f>
        <v/>
      </c>
      <c r="G69" s="16" t="n"/>
      <c r="H69" s="16" t="n"/>
      <c r="I69" s="16" t="n"/>
      <c r="J69" s="16" t="n"/>
      <c r="K69" s="16" t="n"/>
      <c r="L69" s="16" t="n"/>
      <c r="M69" s="11" t="n"/>
    </row>
    <row r="70">
      <c r="A70" s="17" t="inlineStr">
        <is>
          <t>Drinks</t>
        </is>
      </c>
      <c r="B70" s="18" t="inlineStr">
        <is>
          <t>Caipirinha de morango</t>
        </is>
      </c>
      <c r="C70" s="18" t="inlineStr">
        <is>
          <t>Drink alcoólico preparado na casa (cachaça)</t>
        </is>
      </c>
      <c r="D70" s="19" t="n">
        <v>25</v>
      </c>
      <c r="E70" s="17" t="inlineStr">
        <is>
          <t>Não</t>
        </is>
      </c>
      <c r="F70" s="20">
        <f>IF(INDEX(Categorias!$E:$E,MATCH(A70,Categorias!$A:$A,0))&lt;&gt;"",INDEX(Categorias!$E:$E,MATCH(A70,Categorias!$A:$A,0)),IF(INDEX(Categorias!$D:$D,MATCH(A70,Categorias!$A:$A,0))&lt;&gt;"",INDEX(Categorias!$D:$D,MATCH(A70,Categorias!$A:$A,0)),Empresa!$B$11))</f>
        <v/>
      </c>
      <c r="G70" s="16" t="n"/>
      <c r="H70" s="16" t="n"/>
      <c r="I70" s="16" t="n"/>
      <c r="J70" s="16" t="n"/>
      <c r="K70" s="16" t="n"/>
      <c r="L70" s="16" t="n"/>
      <c r="M70" s="11" t="n"/>
    </row>
    <row r="71">
      <c r="A71" s="13" t="inlineStr">
        <is>
          <t>Cervejas</t>
        </is>
      </c>
      <c r="B71" s="9" t="inlineStr">
        <is>
          <t>IPA Maniacs Lata</t>
        </is>
      </c>
      <c r="C71" s="9" t="inlineStr">
        <is>
          <t>Cerveja em lata (revenda)</t>
        </is>
      </c>
      <c r="D71" s="14" t="n">
        <v>15</v>
      </c>
      <c r="E71" s="13" t="inlineStr">
        <is>
          <t>Sim</t>
        </is>
      </c>
      <c r="F71" s="15">
        <f>IF(INDEX(Categorias!$E:$E,MATCH(A71,Categorias!$A:$A,0))&lt;&gt;"",INDEX(Categorias!$E:$E,MATCH(A71,Categorias!$A:$A,0)),IF(INDEX(Categorias!$D:$D,MATCH(A71,Categorias!$A:$A,0))&lt;&gt;"",INDEX(Categorias!$D:$D,MATCH(A71,Categorias!$A:$A,0)),Empresa!$B$11))</f>
        <v/>
      </c>
      <c r="G71" s="16" t="n"/>
      <c r="H71" s="16" t="n"/>
      <c r="I71" s="16" t="n"/>
      <c r="J71" s="16" t="n"/>
      <c r="K71" s="16" t="n"/>
      <c r="L71" s="16" t="n"/>
      <c r="M71" s="11" t="n"/>
    </row>
    <row r="72">
      <c r="A72" s="13" t="inlineStr">
        <is>
          <t>Cervejas</t>
        </is>
      </c>
      <c r="B72" s="9" t="inlineStr">
        <is>
          <t>IPA Maniacs Sem Alcool LN</t>
        </is>
      </c>
      <c r="C72" s="9" t="inlineStr">
        <is>
          <t>Cerveja sem álcool long neck (revenda)</t>
        </is>
      </c>
      <c r="D72" s="14" t="n">
        <v>15</v>
      </c>
      <c r="E72" s="13" t="inlineStr">
        <is>
          <t>Sim</t>
        </is>
      </c>
      <c r="F72" s="15">
        <f>IF(INDEX(Categorias!$E:$E,MATCH(A72,Categorias!$A:$A,0))&lt;&gt;"",INDEX(Categorias!$E:$E,MATCH(A72,Categorias!$A:$A,0)),IF(INDEX(Categorias!$D:$D,MATCH(A72,Categorias!$A:$A,0))&lt;&gt;"",INDEX(Categorias!$D:$D,MATCH(A72,Categorias!$A:$A,0)),Empresa!$B$11))</f>
        <v/>
      </c>
      <c r="G72" s="16" t="n"/>
      <c r="H72" s="16" t="n"/>
      <c r="I72" s="16" t="n"/>
      <c r="J72" s="16" t="n"/>
      <c r="K72" s="16" t="n"/>
      <c r="L72" s="16" t="n"/>
      <c r="M72" s="21" t="inlineStr">
        <is>
          <t>⚠ Cerveja sem álcool: NCM 22029100?</t>
        </is>
      </c>
    </row>
    <row r="73">
      <c r="A73" s="13" t="inlineStr">
        <is>
          <t>Chopes</t>
        </is>
      </c>
      <c r="B73" s="9" t="inlineStr">
        <is>
          <t>1 chope Pilsen 500 ml</t>
        </is>
      </c>
      <c r="C73" s="9" t="inlineStr">
        <is>
          <t>Chope de barril servido no copo</t>
        </is>
      </c>
      <c r="D73" s="14" t="n">
        <v>15</v>
      </c>
      <c r="E73" s="13" t="inlineStr">
        <is>
          <t>Sim</t>
        </is>
      </c>
      <c r="F73" s="15">
        <f>IF(INDEX(Categorias!$E:$E,MATCH(A73,Categorias!$A:$A,0))&lt;&gt;"",INDEX(Categorias!$E:$E,MATCH(A73,Categorias!$A:$A,0)),IF(INDEX(Categorias!$D:$D,MATCH(A73,Categorias!$A:$A,0))&lt;&gt;"",INDEX(Categorias!$D:$D,MATCH(A73,Categorias!$A:$A,0)),Empresa!$B$11))</f>
        <v/>
      </c>
      <c r="G73" s="16" t="n"/>
      <c r="H73" s="16" t="n"/>
      <c r="I73" s="16" t="n"/>
      <c r="J73" s="16" t="n"/>
      <c r="K73" s="16" t="n"/>
      <c r="L73" s="16" t="n"/>
      <c r="M73" s="11" t="n"/>
    </row>
    <row r="74">
      <c r="A74" s="17" t="inlineStr">
        <is>
          <t>Chopes</t>
        </is>
      </c>
      <c r="B74" s="18" t="inlineStr">
        <is>
          <t>1 chope Pilsen 500 ml + 1 chope Vinho 500 ml</t>
        </is>
      </c>
      <c r="C74" s="18" t="inlineStr">
        <is>
          <t>Combo de chopes</t>
        </is>
      </c>
      <c r="D74" s="19" t="n">
        <v>25</v>
      </c>
      <c r="E74" s="17" t="inlineStr">
        <is>
          <t>Não</t>
        </is>
      </c>
      <c r="F74" s="20">
        <f>IF(INDEX(Categorias!$E:$E,MATCH(A74,Categorias!$A:$A,0))&lt;&gt;"",INDEX(Categorias!$E:$E,MATCH(A74,Categorias!$A:$A,0)),IF(INDEX(Categorias!$D:$D,MATCH(A74,Categorias!$A:$A,0))&lt;&gt;"",INDEX(Categorias!$D:$D,MATCH(A74,Categorias!$A:$A,0)),Empresa!$B$11))</f>
        <v/>
      </c>
      <c r="G74" s="16" t="n"/>
      <c r="H74" s="16" t="n"/>
      <c r="I74" s="16" t="n"/>
      <c r="J74" s="16" t="n"/>
      <c r="K74" s="16" t="n"/>
      <c r="L74" s="16" t="n"/>
      <c r="M74" s="11" t="n"/>
    </row>
    <row r="75">
      <c r="A75" s="17" t="inlineStr">
        <is>
          <t>Chopes</t>
        </is>
      </c>
      <c r="B75" s="18" t="inlineStr">
        <is>
          <t>1 chope Vinho 500 ml</t>
        </is>
      </c>
      <c r="C75" s="18" t="inlineStr">
        <is>
          <t>Chope de barril servido no copo</t>
        </is>
      </c>
      <c r="D75" s="19" t="n">
        <v>15</v>
      </c>
      <c r="E75" s="17" t="inlineStr">
        <is>
          <t>Não</t>
        </is>
      </c>
      <c r="F75" s="20">
        <f>IF(INDEX(Categorias!$E:$E,MATCH(A75,Categorias!$A:$A,0))&lt;&gt;"",INDEX(Categorias!$E:$E,MATCH(A75,Categorias!$A:$A,0)),IF(INDEX(Categorias!$D:$D,MATCH(A75,Categorias!$A:$A,0))&lt;&gt;"",INDEX(Categorias!$D:$D,MATCH(A75,Categorias!$A:$A,0)),Empresa!$B$11))</f>
        <v/>
      </c>
      <c r="G75" s="16" t="n"/>
      <c r="H75" s="16" t="n"/>
      <c r="I75" s="16" t="n"/>
      <c r="J75" s="16" t="n"/>
      <c r="K75" s="16" t="n"/>
      <c r="L75" s="16" t="n"/>
      <c r="M75" s="11" t="n"/>
    </row>
    <row r="76">
      <c r="A76" s="13" t="inlineStr">
        <is>
          <t>Chopes</t>
        </is>
      </c>
      <c r="B76" s="9" t="inlineStr">
        <is>
          <t>2 chopes Pilsen 500 ml</t>
        </is>
      </c>
      <c r="C76" s="9" t="inlineStr">
        <is>
          <t>Combo de chopes</t>
        </is>
      </c>
      <c r="D76" s="14" t="n">
        <v>25</v>
      </c>
      <c r="E76" s="13" t="inlineStr">
        <is>
          <t>Sim</t>
        </is>
      </c>
      <c r="F76" s="15">
        <f>IF(INDEX(Categorias!$E:$E,MATCH(A76,Categorias!$A:$A,0))&lt;&gt;"",INDEX(Categorias!$E:$E,MATCH(A76,Categorias!$A:$A,0)),IF(INDEX(Categorias!$D:$D,MATCH(A76,Categorias!$A:$A,0))&lt;&gt;"",INDEX(Categorias!$D:$D,MATCH(A76,Categorias!$A:$A,0)),Empresa!$B$11))</f>
        <v/>
      </c>
      <c r="G76" s="16" t="n"/>
      <c r="H76" s="16" t="n"/>
      <c r="I76" s="16" t="n"/>
      <c r="J76" s="16" t="n"/>
      <c r="K76" s="16" t="n"/>
      <c r="L76" s="16" t="n"/>
      <c r="M76" s="11" t="n"/>
    </row>
    <row r="77">
      <c r="A77" s="17" t="inlineStr">
        <is>
          <t>Chopes</t>
        </is>
      </c>
      <c r="B77" s="18" t="inlineStr">
        <is>
          <t>2 chopes Vinho 500 ml</t>
        </is>
      </c>
      <c r="C77" s="18" t="inlineStr">
        <is>
          <t>Combo de chopes</t>
        </is>
      </c>
      <c r="D77" s="19" t="n">
        <v>25</v>
      </c>
      <c r="E77" s="17" t="inlineStr">
        <is>
          <t>Não</t>
        </is>
      </c>
      <c r="F77" s="20">
        <f>IF(INDEX(Categorias!$E:$E,MATCH(A77,Categorias!$A:$A,0))&lt;&gt;"",INDEX(Categorias!$E:$E,MATCH(A77,Categorias!$A:$A,0)),IF(INDEX(Categorias!$D:$D,MATCH(A77,Categorias!$A:$A,0))&lt;&gt;"",INDEX(Categorias!$D:$D,MATCH(A77,Categorias!$A:$A,0)),Empresa!$B$11))</f>
        <v/>
      </c>
      <c r="G77" s="16" t="n"/>
      <c r="H77" s="16" t="n"/>
      <c r="I77" s="16" t="n"/>
      <c r="J77" s="16" t="n"/>
      <c r="K77" s="16" t="n"/>
      <c r="L77" s="16" t="n"/>
      <c r="M77" s="11" t="n"/>
    </row>
    <row r="78">
      <c r="A78" s="13" t="inlineStr">
        <is>
          <t>Extras</t>
        </is>
      </c>
      <c r="B78" s="9" t="inlineStr">
        <is>
          <t>Guacamole + Sour cream + Tortilha de milho</t>
        </is>
      </c>
      <c r="C78" s="9" t="inlineStr">
        <is>
          <t>Acompanhamento preparado na casa</t>
        </is>
      </c>
      <c r="D78" s="14" t="n">
        <v>12</v>
      </c>
      <c r="E78" s="13" t="inlineStr">
        <is>
          <t>Sim</t>
        </is>
      </c>
      <c r="F78" s="15">
        <f>IF(INDEX(Categorias!$E:$E,MATCH(A78,Categorias!$A:$A,0))&lt;&gt;"",INDEX(Categorias!$E:$E,MATCH(A78,Categorias!$A:$A,0)),IF(INDEX(Categorias!$D:$D,MATCH(A78,Categorias!$A:$A,0))&lt;&gt;"",INDEX(Categorias!$D:$D,MATCH(A78,Categorias!$A:$A,0)),Empresa!$B$11))</f>
        <v/>
      </c>
      <c r="G78" s="16" t="n"/>
      <c r="H78" s="16" t="n"/>
      <c r="I78" s="16" t="n"/>
      <c r="J78" s="16" t="n"/>
      <c r="K78" s="16" t="n"/>
      <c r="L78" s="16" t="n"/>
      <c r="M78" s="11" t="n"/>
    </row>
    <row r="79">
      <c r="A79" s="13" t="inlineStr">
        <is>
          <t>Extras</t>
        </is>
      </c>
      <c r="B79" s="9" t="inlineStr">
        <is>
          <t>Sour cream pequeno</t>
        </is>
      </c>
      <c r="C79" s="9" t="inlineStr">
        <is>
          <t>Acompanhamento preparado na casa</t>
        </is>
      </c>
      <c r="D79" s="14" t="n">
        <v>5</v>
      </c>
      <c r="E79" s="13" t="inlineStr">
        <is>
          <t>Sim</t>
        </is>
      </c>
      <c r="F79" s="15">
        <f>IF(INDEX(Categorias!$E:$E,MATCH(A79,Categorias!$A:$A,0))&lt;&gt;"",INDEX(Categorias!$E:$E,MATCH(A79,Categorias!$A:$A,0)),IF(INDEX(Categorias!$D:$D,MATCH(A79,Categorias!$A:$A,0))&lt;&gt;"",INDEX(Categorias!$D:$D,MATCH(A79,Categorias!$A:$A,0)),Empresa!$B$11))</f>
        <v/>
      </c>
      <c r="G79" s="16" t="n"/>
      <c r="H79" s="16" t="n"/>
      <c r="I79" s="16" t="n"/>
      <c r="J79" s="16" t="n"/>
      <c r="K79" s="16" t="n"/>
      <c r="L79" s="16" t="n"/>
      <c r="M79" s="11" t="n"/>
    </row>
    <row r="80">
      <c r="A80" s="13" t="inlineStr">
        <is>
          <t>Extras</t>
        </is>
      </c>
      <c r="B80" s="9" t="inlineStr">
        <is>
          <t>Guacamole pequeno</t>
        </is>
      </c>
      <c r="C80" s="9" t="inlineStr">
        <is>
          <t>Acompanhamento preparado na casa</t>
        </is>
      </c>
      <c r="D80" s="14" t="n">
        <v>5</v>
      </c>
      <c r="E80" s="13" t="inlineStr">
        <is>
          <t>Sim</t>
        </is>
      </c>
      <c r="F80" s="15">
        <f>IF(INDEX(Categorias!$E:$E,MATCH(A80,Categorias!$A:$A,0))&lt;&gt;"",INDEX(Categorias!$E:$E,MATCH(A80,Categorias!$A:$A,0)),IF(INDEX(Categorias!$D:$D,MATCH(A80,Categorias!$A:$A,0))&lt;&gt;"",INDEX(Categorias!$D:$D,MATCH(A80,Categorias!$A:$A,0)),Empresa!$B$11))</f>
        <v/>
      </c>
      <c r="G80" s="16" t="n"/>
      <c r="H80" s="16" t="n"/>
      <c r="I80" s="16" t="n"/>
      <c r="J80" s="16" t="n"/>
      <c r="K80" s="16" t="n"/>
      <c r="L80" s="16" t="n"/>
      <c r="M80" s="11" t="n"/>
    </row>
    <row r="81">
      <c r="A81" s="13" t="inlineStr">
        <is>
          <t>Extras</t>
        </is>
      </c>
      <c r="B81" s="9" t="inlineStr">
        <is>
          <t>Guacamole grande</t>
        </is>
      </c>
      <c r="C81" s="9" t="inlineStr">
        <is>
          <t>Acompanhamento preparado na casa</t>
        </is>
      </c>
      <c r="D81" s="14" t="n">
        <v>10</v>
      </c>
      <c r="E81" s="13" t="inlineStr">
        <is>
          <t>Sim</t>
        </is>
      </c>
      <c r="F81" s="15">
        <f>IF(INDEX(Categorias!$E:$E,MATCH(A81,Categorias!$A:$A,0))&lt;&gt;"",INDEX(Categorias!$E:$E,MATCH(A81,Categorias!$A:$A,0)),IF(INDEX(Categorias!$D:$D,MATCH(A81,Categorias!$A:$A,0))&lt;&gt;"",INDEX(Categorias!$D:$D,MATCH(A81,Categorias!$A:$A,0)),Empresa!$B$11))</f>
        <v/>
      </c>
      <c r="G81" s="16" t="n"/>
      <c r="H81" s="16" t="n"/>
      <c r="I81" s="16" t="n"/>
      <c r="J81" s="16" t="n"/>
      <c r="K81" s="16" t="n"/>
      <c r="L81" s="16" t="n"/>
      <c r="M81" s="11" t="n"/>
    </row>
    <row r="82">
      <c r="A82" s="13" t="inlineStr">
        <is>
          <t>Extras</t>
        </is>
      </c>
      <c r="B82" s="9" t="inlineStr">
        <is>
          <t>Tortilha Chips</t>
        </is>
      </c>
      <c r="C82" s="9" t="inlineStr">
        <is>
          <t>Acompanhamento</t>
        </is>
      </c>
      <c r="D82" s="14" t="n">
        <v>5</v>
      </c>
      <c r="E82" s="13" t="inlineStr">
        <is>
          <t>Sim</t>
        </is>
      </c>
      <c r="F82" s="15">
        <f>IF(INDEX(Categorias!$E:$E,MATCH(A82,Categorias!$A:$A,0))&lt;&gt;"",INDEX(Categorias!$E:$E,MATCH(A82,Categorias!$A:$A,0)),IF(INDEX(Categorias!$D:$D,MATCH(A82,Categorias!$A:$A,0))&lt;&gt;"",INDEX(Categorias!$D:$D,MATCH(A82,Categorias!$A:$A,0)),Empresa!$B$11))</f>
        <v/>
      </c>
      <c r="G82" s="16" t="n"/>
      <c r="H82" s="16" t="n"/>
      <c r="I82" s="16" t="n"/>
      <c r="J82" s="16" t="n"/>
      <c r="K82" s="16" t="n"/>
      <c r="L82" s="16" t="n"/>
      <c r="M82" s="11" t="n"/>
    </row>
    <row r="83">
      <c r="A83" s="13" t="inlineStr">
        <is>
          <t>Extras</t>
        </is>
      </c>
      <c r="B83" s="9" t="inlineStr">
        <is>
          <t>Sour grande</t>
        </is>
      </c>
      <c r="C83" s="9" t="inlineStr">
        <is>
          <t>Acompanhamento preparado na casa</t>
        </is>
      </c>
      <c r="D83" s="14" t="n">
        <v>10</v>
      </c>
      <c r="E83" s="13" t="inlineStr">
        <is>
          <t>Sim</t>
        </is>
      </c>
      <c r="F83" s="15">
        <f>IF(INDEX(Categorias!$E:$E,MATCH(A83,Categorias!$A:$A,0))&lt;&gt;"",INDEX(Categorias!$E:$E,MATCH(A83,Categorias!$A:$A,0)),IF(INDEX(Categorias!$D:$D,MATCH(A83,Categorias!$A:$A,0))&lt;&gt;"",INDEX(Categorias!$D:$D,MATCH(A83,Categorias!$A:$A,0)),Empresa!$B$11))</f>
        <v/>
      </c>
      <c r="G83" s="16" t="n"/>
      <c r="H83" s="16" t="n"/>
      <c r="I83" s="16" t="n"/>
      <c r="J83" s="16" t="n"/>
      <c r="K83" s="16" t="n"/>
      <c r="L83" s="16" t="n"/>
      <c r="M83" s="11" t="n"/>
    </row>
    <row r="84"/>
    <row r="85">
      <c r="A85" s="12" t="inlineStr">
        <is>
          <t>Coluna F mostra o NCM que o produto vai usar se você não preencher nada na coluna G (herda da categoria; se a categoria estiver vazia, usa o padrão da aba Empresa). Preencha G/H/I/J/K só para exceções. Linhas cinza = produto inativo no cardápio.</t>
        </is>
      </c>
    </row>
    <row r="86">
      <c r="A86" s="12" t="inlineStr">
        <is>
          <t>Exemplo de preenchimento (exceção): Água sem gás → NCM 22019000 · CEST 0300700 (se houver ST) · CSOSN 500 · Origem 0.</t>
        </is>
      </c>
    </row>
    <row r="87"/>
  </sheetData>
  <autoFilter ref="A1:M83"/>
  <mergeCells count="2">
    <mergeCell ref="A86:M86"/>
    <mergeCell ref="A85:M85"/>
  </mergeCells>
  <dataValidations count="5">
    <dataValidation sqref="G2:G83" showDropDown="0" showInputMessage="0" showErrorMessage="1" allowBlank="1" errorTitle="NCM" error="8 dígitos sem ponto" type="textLength" operator="equal">
      <formula1>8</formula1>
    </dataValidation>
    <dataValidation sqref="H2:H83" showDropDown="0" showInputMessage="0" showErrorMessage="1" allowBlank="1" errorTitle="CEST" error="7 dígitos sem ponto" type="textLength" operator="equal">
      <formula1>7</formula1>
    </dataValidation>
    <dataValidation sqref="I2:I83" showDropDown="0" showInputMessage="0" showErrorMessage="0" allowBlank="1" type="list">
      <formula1>=Legenda!$I$1:$I$4</formula1>
    </dataValidation>
    <dataValidation sqref="J2:J83" showDropDown="0" showInputMessage="0" showErrorMessage="0" allowBlank="1" type="list">
      <formula1>=Legenda!$H$1:$H$7</formula1>
    </dataValidation>
    <dataValidation sqref="K2:K83" showDropDown="0" showInputMessage="0" showErrorMessage="0" allowBlank="1" type="list">
      <formula1>=Legenda!$J$1:$J$3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hidden="1" width="13" customWidth="1" min="8" max="8"/>
    <col hidden="1" width="13" customWidth="1" min="9" max="9"/>
    <col hidden="1" width="13" customWidth="1" min="10" max="10"/>
  </cols>
  <sheetData>
    <row r="1">
      <c r="A1" s="22" t="inlineStr">
        <is>
          <t>CSOSN</t>
        </is>
      </c>
      <c r="B1" s="23" t="n"/>
      <c r="H1" t="inlineStr">
        <is>
          <t>102</t>
        </is>
      </c>
      <c r="I1" t="n">
        <v>5102</v>
      </c>
      <c r="J1" t="n">
        <v>0</v>
      </c>
    </row>
    <row r="2">
      <c r="A2" s="24" t="inlineStr">
        <is>
          <t>102</t>
        </is>
      </c>
      <c r="B2" s="25" t="inlineStr">
        <is>
          <t>Tributada pelo Simples sem permissão de crédito (padrão)</t>
        </is>
      </c>
      <c r="H2" t="inlineStr">
        <is>
          <t>101</t>
        </is>
      </c>
      <c r="I2" t="n">
        <v>5101</v>
      </c>
      <c r="J2" t="n">
        <v>1</v>
      </c>
    </row>
    <row r="3">
      <c r="A3" s="24" t="inlineStr">
        <is>
          <t>101</t>
        </is>
      </c>
      <c r="B3" s="25" t="inlineStr">
        <is>
          <t>Tributada pelo Simples com permissão de crédito</t>
        </is>
      </c>
      <c r="H3" t="inlineStr">
        <is>
          <t>103</t>
        </is>
      </c>
      <c r="I3" t="n">
        <v>5405</v>
      </c>
      <c r="J3" t="n">
        <v>2</v>
      </c>
    </row>
    <row r="4">
      <c r="A4" s="24" t="inlineStr">
        <is>
          <t>103</t>
        </is>
      </c>
      <c r="B4" s="25" t="inlineStr">
        <is>
          <t>Isenção do ICMS no Simples (faixa de receita)</t>
        </is>
      </c>
      <c r="H4" t="inlineStr">
        <is>
          <t>300</t>
        </is>
      </c>
      <c r="I4" t="n">
        <v>5403</v>
      </c>
    </row>
    <row r="5">
      <c r="A5" s="24" t="inlineStr">
        <is>
          <t>300</t>
        </is>
      </c>
      <c r="B5" s="25" t="inlineStr">
        <is>
          <t>Imune</t>
        </is>
      </c>
      <c r="H5" t="inlineStr">
        <is>
          <t>400</t>
        </is>
      </c>
    </row>
    <row r="6">
      <c r="A6" s="24" t="inlineStr">
        <is>
          <t>400</t>
        </is>
      </c>
      <c r="B6" s="25" t="inlineStr">
        <is>
          <t>Não tributada pelo Simples</t>
        </is>
      </c>
      <c r="H6" t="inlineStr">
        <is>
          <t>500</t>
        </is>
      </c>
    </row>
    <row r="7">
      <c r="A7" s="24" t="inlineStr">
        <is>
          <t>500</t>
        </is>
      </c>
      <c r="B7" s="25" t="inlineStr">
        <is>
          <t>ICMS cobrado anteriormente por substituição tributária (bebidas, cigarros)</t>
        </is>
      </c>
      <c r="H7" t="inlineStr">
        <is>
          <t>900</t>
        </is>
      </c>
    </row>
    <row r="8">
      <c r="A8" s="24" t="inlineStr">
        <is>
          <t>900</t>
        </is>
      </c>
      <c r="B8" s="25" t="inlineStr">
        <is>
          <t>Outros</t>
        </is>
      </c>
    </row>
    <row r="10">
      <c r="A10" s="22" t="inlineStr">
        <is>
          <t>CFOP</t>
        </is>
      </c>
      <c r="B10" s="23" t="n"/>
    </row>
    <row r="11">
      <c r="A11" s="24" t="inlineStr">
        <is>
          <t>5102</t>
        </is>
      </c>
      <c r="B11" s="25" t="inlineStr">
        <is>
          <t>Venda de mercadoria adquirida de terceiros (revenda)</t>
        </is>
      </c>
    </row>
    <row r="12">
      <c r="A12" s="24" t="inlineStr">
        <is>
          <t>5101</t>
        </is>
      </c>
      <c r="B12" s="25" t="inlineStr">
        <is>
          <t>Venda de produção do estabelecimento</t>
        </is>
      </c>
    </row>
    <row r="13">
      <c r="A13" s="24" t="inlineStr">
        <is>
          <t>5405</t>
        </is>
      </c>
      <c r="B13" s="25" t="inlineStr">
        <is>
          <t>Venda de mercadoria sujeita a ST, na condição de substituído</t>
        </is>
      </c>
    </row>
    <row r="14">
      <c r="A14" s="24" t="inlineStr">
        <is>
          <t>5403</t>
        </is>
      </c>
      <c r="B14" s="25" t="inlineStr">
        <is>
          <t>Venda de mercadoria sujeita a ST, na condição de substituto</t>
        </is>
      </c>
    </row>
    <row r="16">
      <c r="A16" s="22" t="inlineStr">
        <is>
          <t>ORIGEM</t>
        </is>
      </c>
      <c r="B16" s="23" t="n"/>
    </row>
    <row r="17">
      <c r="A17" s="24" t="inlineStr">
        <is>
          <t>0</t>
        </is>
      </c>
      <c r="B17" s="25" t="inlineStr">
        <is>
          <t>Nacional</t>
        </is>
      </c>
    </row>
    <row r="18">
      <c r="A18" s="24" t="inlineStr">
        <is>
          <t>1</t>
        </is>
      </c>
      <c r="B18" s="25" t="inlineStr">
        <is>
          <t>Estrangeira - importação direta</t>
        </is>
      </c>
    </row>
    <row r="19">
      <c r="A19" s="24" t="inlineStr">
        <is>
          <t>2</t>
        </is>
      </c>
      <c r="B19" s="25" t="inlineStr">
        <is>
          <t>Estrangeira - adquirida no mercado interno</t>
        </is>
      </c>
    </row>
    <row r="21">
      <c r="A21" s="22" t="inlineStr">
        <is>
          <t>NCM sugeridos</t>
        </is>
      </c>
      <c r="B21" s="23" t="n"/>
    </row>
    <row r="22">
      <c r="A22" s="24" t="inlineStr">
        <is>
          <t>21069090</t>
        </is>
      </c>
      <c r="B22" s="25" t="inlineStr">
        <is>
          <t>Preparações alimentícias não especificadas (pratos, lanches, porções)</t>
        </is>
      </c>
    </row>
    <row r="23">
      <c r="A23" s="24" t="inlineStr">
        <is>
          <t>19059090</t>
        </is>
      </c>
      <c r="B23" s="25" t="inlineStr">
        <is>
          <t>Produtos de padaria/pastelaria (pães, pastéis, tortas)</t>
        </is>
      </c>
    </row>
    <row r="24">
      <c r="A24" s="24" t="inlineStr">
        <is>
          <t>22021000</t>
        </is>
      </c>
      <c r="B24" s="25" t="inlineStr">
        <is>
          <t>Refrigerantes e águas com açúcar/aromatizadas</t>
        </is>
      </c>
    </row>
    <row r="25">
      <c r="A25" s="24" t="inlineStr">
        <is>
          <t>22019000</t>
        </is>
      </c>
      <c r="B25" s="25" t="inlineStr">
        <is>
          <t>Água mineral sem gás</t>
        </is>
      </c>
    </row>
    <row r="26">
      <c r="A26" s="24" t="inlineStr">
        <is>
          <t>22011000</t>
        </is>
      </c>
      <c r="B26" s="25" t="inlineStr">
        <is>
          <t>Água mineral com gás</t>
        </is>
      </c>
    </row>
    <row r="27">
      <c r="A27" s="24" t="inlineStr">
        <is>
          <t>22030000</t>
        </is>
      </c>
      <c r="B27" s="25" t="inlineStr">
        <is>
          <t>Cerveja e chope</t>
        </is>
      </c>
    </row>
    <row r="28">
      <c r="A28" s="24" t="inlineStr">
        <is>
          <t>22089000</t>
        </is>
      </c>
      <c r="B28" s="25" t="inlineStr">
        <is>
          <t>Bebidas destiladas e drinks alcoólicos</t>
        </is>
      </c>
    </row>
    <row r="29">
      <c r="A29" s="24" t="inlineStr">
        <is>
          <t>22042100</t>
        </is>
      </c>
      <c r="B29" s="25" t="inlineStr">
        <is>
          <t>Vinho</t>
        </is>
      </c>
    </row>
    <row r="30">
      <c r="A30" s="24" t="inlineStr">
        <is>
          <t>22029900</t>
        </is>
      </c>
      <c r="B30" s="25" t="inlineStr">
        <is>
          <t>Sucos e bebidas não alcoólicas (outras)</t>
        </is>
      </c>
    </row>
    <row r="31">
      <c r="A31" s="24" t="inlineStr">
        <is>
          <t>20099000</t>
        </is>
      </c>
      <c r="B31" s="25" t="inlineStr">
        <is>
          <t>Sucos de frutas (misturas)</t>
        </is>
      </c>
    </row>
    <row r="32">
      <c r="A32" s="24" t="inlineStr">
        <is>
          <t>21050010</t>
        </is>
      </c>
      <c r="B32" s="25" t="inlineStr">
        <is>
          <t>Sorvete</t>
        </is>
      </c>
    </row>
    <row r="33">
      <c r="A33" s="24" t="inlineStr">
        <is>
          <t>18063100</t>
        </is>
      </c>
      <c r="B33" s="25" t="inlineStr">
        <is>
          <t>Chocolates e sobremesas de chocolate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2026-09-09T16:32:20Z</dcterms:created>
  <dcterms:modified xmlns:dcterms="http://purl.org/dc/terms/" xmlns:xsi="http://www.w3.org/2001/XMLSchema-instance" xsi:type="dcterms:W3CDTF">2026-09-09T16:32:54Z</dcterms:modified>
</cp:coreProperties>
</file>